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FIT3158---Assignment\"/>
    </mc:Choice>
  </mc:AlternateContent>
  <xr:revisionPtr revIDLastSave="0" documentId="13_ncr:1_{C858A055-D12E-4C73-99FA-2BE1216A7EB5}" xr6:coauthVersionLast="47" xr6:coauthVersionMax="47" xr10:uidLastSave="{00000000-0000-0000-0000-000000000000}"/>
  <bookViews>
    <workbookView xWindow="19090" yWindow="-110" windowWidth="19420" windowHeight="11020" xr2:uid="{00000000-000D-0000-FFFF-FFFF00000000}"/>
  </bookViews>
  <sheets>
    <sheet name="Sensitivity Report 1" sheetId="17" r:id="rId1"/>
    <sheet name="Tons and Volume (2)" sheetId="15" r:id="rId2"/>
    <sheet name="Tons and Volume" sheetId="12" r:id="rId3"/>
    <sheet name="Only tons" sheetId="11" r:id="rId4"/>
  </sheets>
  <definedNames>
    <definedName name="solver_adj" localSheetId="3" hidden="1">'Only tons'!$B$9:$E$12</definedName>
    <definedName name="solver_adj" localSheetId="2" hidden="1">'Tons and Volume'!$B$9:$E$12</definedName>
    <definedName name="solver_adj" localSheetId="1" hidden="1">'Tons and Volume (2)'!$B$9:$E$12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3" hidden="1">2</definedName>
    <definedName name="solver_eng" localSheetId="2" hidden="1">2</definedName>
    <definedName name="solver_eng" localSheetId="1" hidden="1">2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lhs1" localSheetId="3" hidden="1">'Only tons'!$B$13</definedName>
    <definedName name="solver_lhs1" localSheetId="2" hidden="1">'Tons and Volume'!$B$9:$E$12</definedName>
    <definedName name="solver_lhs1" localSheetId="1" hidden="1">'Tons and Volume (2)'!$B$30</definedName>
    <definedName name="solver_lhs2" localSheetId="3" hidden="1">'Only tons'!$B$13</definedName>
    <definedName name="solver_lhs2" localSheetId="2" hidden="1">'Tons and Volume'!$B$31:$E$31</definedName>
    <definedName name="solver_lhs2" localSheetId="1" hidden="1">'Tons and Volume (2)'!$B$30</definedName>
    <definedName name="solver_lhs3" localSheetId="3" hidden="1">'Only tons'!$B$13:$E$13</definedName>
    <definedName name="solver_lhs3" localSheetId="2" hidden="1">'Tons and Volume'!$F$9:$F$12</definedName>
    <definedName name="solver_lhs3" localSheetId="1" hidden="1">'Tons and Volume (2)'!$B$9:$E$12</definedName>
    <definedName name="solver_lhs4" localSheetId="3" hidden="1">'Only tons'!$B$9:$E$12</definedName>
    <definedName name="solver_lhs4" localSheetId="2" hidden="1">'Tons and Volume'!$B$24</definedName>
    <definedName name="solver_lhs4" localSheetId="1" hidden="1">'Tons and Volume (2)'!$B$17:$E$17</definedName>
    <definedName name="solver_lhs5" localSheetId="3" hidden="1">'Only tons'!$C$13:$D$13</definedName>
    <definedName name="solver_lhs5" localSheetId="2" hidden="1">'Tons and Volume'!$B$27:$E$30</definedName>
    <definedName name="solver_lhs5" localSheetId="1" hidden="1">'Tons and Volume (2)'!$F$9:$F$12</definedName>
    <definedName name="solver_lhs6" localSheetId="3" hidden="1">'Only tons'!$C$14:$D$14</definedName>
    <definedName name="solver_lhs6" localSheetId="2" hidden="1">'Tons and Volume'!$B$24</definedName>
    <definedName name="solver_lhs6" localSheetId="1" hidden="1">'Tons and Volume (2)'!$B$14</definedName>
    <definedName name="solver_lhs7" localSheetId="3" hidden="1">'Only tons'!$F$9:$F$12</definedName>
    <definedName name="solver_lhs7" localSheetId="2" hidden="1">'Tons and Volume'!$B$13</definedName>
    <definedName name="solver_lhs7" localSheetId="1" hidden="1">'Tons and Volume (2)'!$B$14</definedName>
    <definedName name="solver_lhs8" localSheetId="2" hidden="1">'Tons and Volume'!$B$13</definedName>
    <definedName name="solver_lhs8" localSheetId="1" hidden="1">'Tons and Volume (2)'!$B$14:$E$14</definedName>
    <definedName name="solver_lhs9" localSheetId="2" hidden="1">'Tons and Volume'!$B$13:$E$13</definedName>
    <definedName name="solver_lhs9" localSheetId="1" hidden="1">'Tons and Volume (2)'!$B$14:$E$14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3" hidden="1">7</definedName>
    <definedName name="solver_num" localSheetId="2" hidden="1">9</definedName>
    <definedName name="solver_num" localSheetId="1" hidden="1">8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3" hidden="1">'Only tons'!$F$17</definedName>
    <definedName name="solver_opt" localSheetId="2" hidden="1">'Tons and Volume'!$F$16</definedName>
    <definedName name="solver_opt" localSheetId="1" hidden="1">'Tons and Volume (2)'!$F$22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el1" localSheetId="3" hidden="1">1</definedName>
    <definedName name="solver_rel1" localSheetId="2" hidden="1">3</definedName>
    <definedName name="solver_rel1" localSheetId="1" hidden="1">1</definedName>
    <definedName name="solver_rel2" localSheetId="3" hidden="1">3</definedName>
    <definedName name="solver_rel2" localSheetId="2" hidden="1">1</definedName>
    <definedName name="solver_rel2" localSheetId="1" hidden="1">3</definedName>
    <definedName name="solver_rel3" localSheetId="3" hidden="1">1</definedName>
    <definedName name="solver_rel3" localSheetId="2" hidden="1">1</definedName>
    <definedName name="solver_rel3" localSheetId="1" hidden="1">3</definedName>
    <definedName name="solver_rel4" localSheetId="3" hidden="1">3</definedName>
    <definedName name="solver_rel4" localSheetId="2" hidden="1">3</definedName>
    <definedName name="solver_rel4" localSheetId="1" hidden="1">1</definedName>
    <definedName name="solver_rel5" localSheetId="3" hidden="1">1</definedName>
    <definedName name="solver_rel5" localSheetId="2" hidden="1">3</definedName>
    <definedName name="solver_rel5" localSheetId="1" hidden="1">1</definedName>
    <definedName name="solver_rel6" localSheetId="3" hidden="1">3</definedName>
    <definedName name="solver_rel6" localSheetId="2" hidden="1">1</definedName>
    <definedName name="solver_rel6" localSheetId="1" hidden="1">1</definedName>
    <definedName name="solver_rel7" localSheetId="3" hidden="1">1</definedName>
    <definedName name="solver_rel7" localSheetId="2" hidden="1">1</definedName>
    <definedName name="solver_rel7" localSheetId="1" hidden="1">3</definedName>
    <definedName name="solver_rel8" localSheetId="2" hidden="1">3</definedName>
    <definedName name="solver_rel8" localSheetId="1" hidden="1">1</definedName>
    <definedName name="solver_rel9" localSheetId="2" hidden="1">1</definedName>
    <definedName name="solver_rel9" localSheetId="1" hidden="1">1</definedName>
    <definedName name="solver_rhs1" localSheetId="3" hidden="1">'Only tons'!$C$19</definedName>
    <definedName name="solver_rhs1" localSheetId="2" hidden="1">0</definedName>
    <definedName name="solver_rhs1" localSheetId="1" hidden="1">'Tons and Volume (2)'!$C$29</definedName>
    <definedName name="solver_rhs2" localSheetId="3" hidden="1">'Only tons'!$B$19</definedName>
    <definedName name="solver_rhs2" localSheetId="2" hidden="1">'Tons and Volume'!$B$32:$E$32</definedName>
    <definedName name="solver_rhs2" localSheetId="1" hidden="1">'Tons and Volume (2)'!$B$29</definedName>
    <definedName name="solver_rhs3" localSheetId="3" hidden="1">'Only tons'!$B$14:$E$14</definedName>
    <definedName name="solver_rhs3" localSheetId="2" hidden="1">'Tons and Volume'!$G$9:$G$12</definedName>
    <definedName name="solver_rhs3" localSheetId="1" hidden="1">0</definedName>
    <definedName name="solver_rhs4" localSheetId="3" hidden="1">0</definedName>
    <definedName name="solver_rhs4" localSheetId="2" hidden="1">'Tons and Volume'!$B$23</definedName>
    <definedName name="solver_rhs4" localSheetId="1" hidden="1">'Tons and Volume (2)'!$B$18:$E$18</definedName>
    <definedName name="solver_rhs5" localSheetId="3" hidden="1">'Only tons'!$C$21</definedName>
    <definedName name="solver_rhs5" localSheetId="2" hidden="1">0</definedName>
    <definedName name="solver_rhs5" localSheetId="1" hidden="1">'Tons and Volume (2)'!$G$9:$G$12</definedName>
    <definedName name="solver_rhs6" localSheetId="3" hidden="1">'Only tons'!$B$21</definedName>
    <definedName name="solver_rhs6" localSheetId="2" hidden="1">'Tons and Volume'!$C$23</definedName>
    <definedName name="solver_rhs6" localSheetId="1" hidden="1">'Tons and Volume (2)'!$C$27</definedName>
    <definedName name="solver_rhs7" localSheetId="3" hidden="1">'Only tons'!$G$9:$G$12</definedName>
    <definedName name="solver_rhs7" localSheetId="2" hidden="1">'Tons and Volume'!$C$21</definedName>
    <definedName name="solver_rhs7" localSheetId="1" hidden="1">'Tons and Volume (2)'!$B$27</definedName>
    <definedName name="solver_rhs8" localSheetId="2" hidden="1">'Tons and Volume'!$B$21</definedName>
    <definedName name="solver_rhs8" localSheetId="1" hidden="1">'Tons and Volume (2)'!$B$15:$E$15</definedName>
    <definedName name="solver_rhs9" localSheetId="2" hidden="1">'Tons and Volume'!$B$14:$E$14</definedName>
    <definedName name="solver_rhs9" localSheetId="1" hidden="1">'Tons and Volume (2)'!$B$15:$E$15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3" hidden="1">0.05</definedName>
    <definedName name="solver_tol" localSheetId="2" hidden="1">0.01</definedName>
    <definedName name="solver_tol" localSheetId="1" hidden="1">0.01</definedName>
    <definedName name="solver_typ" localSheetId="3" hidden="1">1</definedName>
    <definedName name="solver_typ" localSheetId="2" hidden="1">1</definedName>
    <definedName name="solver_typ" localSheetId="1" hidden="1">1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3" hidden="1">3</definedName>
    <definedName name="solver_ver" localSheetId="2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7" i="15" l="1"/>
  <c r="D17" i="15"/>
  <c r="C17" i="15"/>
  <c r="B17" i="15"/>
  <c r="B33" i="15"/>
  <c r="C33" i="15"/>
  <c r="D33" i="15"/>
  <c r="E33" i="15"/>
  <c r="B34" i="15"/>
  <c r="C34" i="15"/>
  <c r="D34" i="15"/>
  <c r="E34" i="15"/>
  <c r="B35" i="15"/>
  <c r="C35" i="15"/>
  <c r="D35" i="15"/>
  <c r="E35" i="15"/>
  <c r="B36" i="15"/>
  <c r="C36" i="15"/>
  <c r="D36" i="15"/>
  <c r="E36" i="15"/>
  <c r="E14" i="15"/>
  <c r="C27" i="15" s="1"/>
  <c r="D14" i="15"/>
  <c r="C14" i="15"/>
  <c r="B14" i="15"/>
  <c r="F12" i="15"/>
  <c r="F36" i="15" s="1"/>
  <c r="F11" i="15"/>
  <c r="F35" i="15" s="1"/>
  <c r="F10" i="15"/>
  <c r="F34" i="15" s="1"/>
  <c r="F9" i="15"/>
  <c r="F33" i="15" s="1"/>
  <c r="F12" i="12"/>
  <c r="F30" i="12" s="1"/>
  <c r="C27" i="12"/>
  <c r="D27" i="12"/>
  <c r="E27" i="12"/>
  <c r="C28" i="12"/>
  <c r="D28" i="12"/>
  <c r="E28" i="12"/>
  <c r="C29" i="12"/>
  <c r="D29" i="12"/>
  <c r="E29" i="12"/>
  <c r="C30" i="12"/>
  <c r="D30" i="12"/>
  <c r="E30" i="12"/>
  <c r="B28" i="12"/>
  <c r="B29" i="12"/>
  <c r="B30" i="12"/>
  <c r="B27" i="12"/>
  <c r="F10" i="12"/>
  <c r="F28" i="12" s="1"/>
  <c r="F11" i="12"/>
  <c r="F29" i="12" s="1"/>
  <c r="F9" i="12"/>
  <c r="F27" i="12" s="1"/>
  <c r="E13" i="12"/>
  <c r="C21" i="12" s="1"/>
  <c r="D13" i="12"/>
  <c r="C13" i="12"/>
  <c r="B13" i="12"/>
  <c r="E13" i="11"/>
  <c r="B19" i="11" s="1"/>
  <c r="B13" i="11"/>
  <c r="D13" i="11"/>
  <c r="C13" i="11"/>
  <c r="F12" i="11"/>
  <c r="F11" i="11"/>
  <c r="F10" i="11"/>
  <c r="F9" i="11"/>
  <c r="F23" i="15" l="1"/>
  <c r="B30" i="15"/>
  <c r="F14" i="15"/>
  <c r="F22" i="15"/>
  <c r="B27" i="15"/>
  <c r="B28" i="15"/>
  <c r="F13" i="12"/>
  <c r="B24" i="12"/>
  <c r="B31" i="12"/>
  <c r="C31" i="12"/>
  <c r="D31" i="12"/>
  <c r="E31" i="12"/>
  <c r="B22" i="12"/>
  <c r="C23" i="12" s="1"/>
  <c r="F17" i="12"/>
  <c r="B21" i="12"/>
  <c r="F16" i="12"/>
  <c r="F17" i="11"/>
  <c r="B20" i="11"/>
  <c r="B21" i="11" s="1"/>
  <c r="C19" i="11"/>
  <c r="F16" i="11"/>
  <c r="F17" i="15" l="1"/>
  <c r="C29" i="15"/>
  <c r="B29" i="15"/>
  <c r="F31" i="12"/>
  <c r="B23" i="12"/>
  <c r="C2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tc={5D38A09F-042D-4AB1-B2EC-0418E406DECF}</author>
  </authors>
  <commentList>
    <comment ref="F23" authorId="0" shapeId="0" xr:uid="{5D38A09F-042D-4AB1-B2EC-0418E406DEC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Dave is confident that the ship can depart with one day delay due to an ongoing maintenance issue. So, we add the penalty for one day delay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tc={E233B4DA-94EC-4686-AAE0-557874383EDD}</author>
  </authors>
  <commentList>
    <comment ref="F17" authorId="0" shapeId="0" xr:uid="{E233B4DA-94EC-4686-AAE0-557874383ED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Dave is confident that the ship can depart with one day delay due to an ongoing maintenance issue. So, we add the penalty for one day delay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tc={8057ECD0-1AE1-4111-A042-4C24D8479342}</author>
  </authors>
  <commentList>
    <comment ref="F17" authorId="0" shapeId="0" xr:uid="{8057ECD0-1AE1-4111-A042-4C24D847934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Dave is confident that the ship can depart with one day delay due to an ongoing maintenance issue. So, we add the penalty for one day delay
</t>
      </text>
    </comment>
  </commentList>
</comments>
</file>

<file path=xl/sharedStrings.xml><?xml version="1.0" encoding="utf-8"?>
<sst xmlns="http://schemas.openxmlformats.org/spreadsheetml/2006/main" count="202" uniqueCount="102">
  <si>
    <t>Available</t>
  </si>
  <si>
    <t>Capacity</t>
  </si>
  <si>
    <t>Shipped</t>
  </si>
  <si>
    <t>Cargo Type</t>
  </si>
  <si>
    <t>C1</t>
  </si>
  <si>
    <t>C2</t>
  </si>
  <si>
    <t>C3</t>
  </si>
  <si>
    <t>C4</t>
  </si>
  <si>
    <t xml:space="preserve">Forward </t>
  </si>
  <si>
    <t>Center (Port)</t>
  </si>
  <si>
    <t>Center (Starboard)</t>
  </si>
  <si>
    <t>Rear</t>
  </si>
  <si>
    <t>Placed</t>
  </si>
  <si>
    <t>Profit</t>
  </si>
  <si>
    <t>Forward/Rear</t>
  </si>
  <si>
    <t>Center</t>
  </si>
  <si>
    <t>Profit with delay penalty</t>
  </si>
  <si>
    <t>Minimum</t>
  </si>
  <si>
    <t>Maximum</t>
  </si>
  <si>
    <t>The value of Forward cargo should be within the range of min and max</t>
  </si>
  <si>
    <t>Total weight that is freighted on board the vessel</t>
  </si>
  <si>
    <t>Volume</t>
  </si>
  <si>
    <t>Weight (Tons)</t>
  </si>
  <si>
    <t>Center holds</t>
  </si>
  <si>
    <t>Volume per ton (cubic feet)</t>
  </si>
  <si>
    <t>The value of Center hold should be within the range of min and max</t>
  </si>
  <si>
    <t>Sum of Center hold to be placed</t>
  </si>
  <si>
    <t>Microsoft Excel 16.0 Sensitivity Report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</si>
  <si>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</si>
  <si>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</si>
  <si>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</si>
  <si>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</si>
  <si>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</si>
  <si>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</si>
  <si>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</si>
  <si>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</si>
  <si>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</si>
  <si>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</si>
  <si>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</si>
  <si>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</si>
  <si>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</si>
  <si>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</si>
  <si>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</si>
  <si>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</si>
  <si>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</si>
  <si>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$B$9</t>
  </si>
  <si>
    <t xml:space="preserve">C1 Forward </t>
  </si>
  <si>
    <t>$C$9</t>
  </si>
  <si>
    <t>C1 Center (Port)</t>
  </si>
  <si>
    <t>$D$9</t>
  </si>
  <si>
    <t>C1 Center (Starboard)</t>
  </si>
  <si>
    <t>$E$9</t>
  </si>
  <si>
    <t>C1 Rear</t>
  </si>
  <si>
    <t>$B$10</t>
  </si>
  <si>
    <t xml:space="preserve">C2 Forward </t>
  </si>
  <si>
    <t>$C$10</t>
  </si>
  <si>
    <t>C2 Center (Port)</t>
  </si>
  <si>
    <t>$D$10</t>
  </si>
  <si>
    <t>C2 Center (Starboard)</t>
  </si>
  <si>
    <t>$E$10</t>
  </si>
  <si>
    <t>C2 Rear</t>
  </si>
  <si>
    <t>$B$11</t>
  </si>
  <si>
    <t xml:space="preserve">C3 Forward </t>
  </si>
  <si>
    <t>$C$11</t>
  </si>
  <si>
    <t>C3 Center (Port)</t>
  </si>
  <si>
    <t>$D$11</t>
  </si>
  <si>
    <t>C3 Center (Starboard)</t>
  </si>
  <si>
    <t>$E$11</t>
  </si>
  <si>
    <t>C3 Rear</t>
  </si>
  <si>
    <t>$B$12</t>
  </si>
  <si>
    <t xml:space="preserve">C4 Forward </t>
  </si>
  <si>
    <t>$C$12</t>
  </si>
  <si>
    <t>C4 Center (Port)</t>
  </si>
  <si>
    <t>$D$12</t>
  </si>
  <si>
    <t>C4 Center (Starboard)</t>
  </si>
  <si>
    <t>$E$12</t>
  </si>
  <si>
    <t>C4 Rear</t>
  </si>
  <si>
    <t>$F$9</t>
  </si>
  <si>
    <t>C1 Shipped</t>
  </si>
  <si>
    <t>$F$10</t>
  </si>
  <si>
    <t>C2 Shipped</t>
  </si>
  <si>
    <t>$F$11</t>
  </si>
  <si>
    <t>C3 Shipped</t>
  </si>
  <si>
    <t>$F$12</t>
  </si>
  <si>
    <t>C4 Shipped</t>
  </si>
  <si>
    <t xml:space="preserve">Placed Forward </t>
  </si>
  <si>
    <t>Placed Center (Port)</t>
  </si>
  <si>
    <t>Placed Center (Starboard)</t>
  </si>
  <si>
    <t>Placed Rear</t>
  </si>
  <si>
    <t>Sum of Center hold to be placed Minimum</t>
  </si>
  <si>
    <t>$B$30</t>
  </si>
  <si>
    <t>Amount</t>
  </si>
  <si>
    <t>Worksheet: [Assignment 1 - FIT3158.xlsm]Tons and Volume (2)</t>
  </si>
  <si>
    <t>$B$14</t>
  </si>
  <si>
    <t>$C$14</t>
  </si>
  <si>
    <t>$D$14</t>
  </si>
  <si>
    <t>$E$14</t>
  </si>
  <si>
    <t>$B$17</t>
  </si>
  <si>
    <t>$C$17</t>
  </si>
  <si>
    <t>$D$17</t>
  </si>
  <si>
    <t>$E$17</t>
  </si>
  <si>
    <t>Report Created: 9/2/2022 4:27:22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</si>
</sst>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2" fillId="0" borderId="0" xfId="0" applyFont="1"/>
    <xf numFmtId="0" fontId="1" fillId="0" borderId="0" xfId="0" applyFont="1"/>
    <xf numFmtId="0" fontId="0" fillId="0" borderId="3" xfId="0" applyFill="1" applyBorder="1" applyAlignment="1"/>
    <xf numFmtId="0" fontId="0" fillId="0" borderId="4" xfId="0" applyFill="1" applyBorder="1" applyAlignment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2" borderId="0" xfId="0" applyFill="1"/>
    <xf numFmtId="0" fontId="0" fillId="2" borderId="3" xfId="0" applyFill="1" applyBorder="1" applyAlignmen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ason Siu" id="{2F6D0FEE-061D-4EFE-814C-D866A9FB4BFB}" userId="0ef083983b70f8d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3" dT="2022-08-31T02:46:50.19" personId="{2F6D0FEE-061D-4EFE-814C-D866A9FB4BFB}" id="{5D38A09F-042D-4AB1-B2EC-0418E406DECF}">
    <text xml:space="preserve">Dave is confident that the ship can depart with one day delay due to an ongoing maintenance issue. So, we add the penalty for one day delay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7" dT="2022-08-31T02:46:50.19" personId="{2F6D0FEE-061D-4EFE-814C-D866A9FB4BFB}" id="{E233B4DA-94EC-4686-AAE0-557874383EDD}">
    <text xml:space="preserve">Dave is confident that the ship can depart with one day delay due to an ongoing maintenance issue. So, we add the penalty for one day delay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17" dT="2022-08-31T02:46:50.19" personId="{2F6D0FEE-061D-4EFE-814C-D866A9FB4BFB}" id="{8057ECD0-1AE1-4111-A042-4C24D8479342}">
    <text xml:space="preserve">Dave is confident that the ship can depart with one day delay due to an ongoing maintenance issue. So, we add the penalty for one day delay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4504A-767D-4BE6-8133-B40C27018AFB}">
  <dimension ref="A1:J44"/>
  <sheetViews>
    <sheetView showGridLines="0" tabSelected="1" topLeftCell="A25" workbookViewId="0">
      <selection activeCell="E37" sqref="E37"/>
    </sheetView>
  </sheetViews>
  <sheetFormatPr defaultRowHeight="12.5" x14ac:dyDescent="0.25"/>
  <cols>
    <col min="1" max="1" width="2.1796875" customWidth="1"/>
    <col min="2" max="2" width="6.08984375" bestFit="1" customWidth="1"/>
    <col min="3" max="3" width="34.7265625" bestFit="1" customWidth="1"/>
    <col min="4" max="4" width="11.81640625" bestFit="1" customWidth="1"/>
    <col min="5" max="5" width="12.7265625" bestFit="1" customWidth="1"/>
    <col min="6" max="6" width="10.08984375" bestFit="1" customWidth="1"/>
    <col min="7" max="8" width="12.08984375" bestFit="1" customWidth="1"/>
  </cols>
  <sheetData>
    <row r="1" spans="1:8" ht="13" x14ac:dyDescent="0.3">
      <c r="A1" s="7" t="s">
        <v>27</v>
      </c>
    </row>
    <row r="2" spans="1:8" ht="13" x14ac:dyDescent="0.3">
      <c r="A2" s="7" t="s">
        <v>92</v>
      </c>
    </row>
    <row r="3" spans="1:8" ht="13" x14ac:dyDescent="0.3">
      <c r="A3" s="7" t="s">
        <v>101</v>
      </c>
    </row>
    <row r="6" spans="1:8" ht="13" thickBot="1" x14ac:dyDescent="0.3">
      <c r="A6" t="s">
        <v>28</v>
      </c>
    </row>
    <row r="7" spans="1:8" ht="13" x14ac:dyDescent="0.3">
      <c r="B7" s="10"/>
      <c r="C7" s="10"/>
      <c r="D7" s="10" t="s">
        <v>31</v>
      </c>
      <c r="E7" s="10" t="s">
        <v>33</v>
      </c>
      <c r="F7" s="10" t="s">
        <v>35</v>
      </c>
      <c r="G7" s="10" t="s">
        <v>37</v>
      </c>
      <c r="H7" s="10" t="s">
        <v>37</v>
      </c>
    </row>
    <row r="8" spans="1:8" ht="13.5" thickBot="1" x14ac:dyDescent="0.35">
      <c r="B8" s="11" t="s">
        <v>29</v>
      </c>
      <c r="C8" s="11" t="s">
        <v>30</v>
      </c>
      <c r="D8" s="11" t="s">
        <v>32</v>
      </c>
      <c r="E8" s="11" t="s">
        <v>34</v>
      </c>
      <c r="F8" s="11" t="s">
        <v>36</v>
      </c>
      <c r="G8" s="11" t="s">
        <v>38</v>
      </c>
      <c r="H8" s="11" t="s">
        <v>39</v>
      </c>
    </row>
    <row r="9" spans="1:8" x14ac:dyDescent="0.25">
      <c r="B9" s="8" t="s">
        <v>45</v>
      </c>
      <c r="C9" s="8" t="s">
        <v>46</v>
      </c>
      <c r="D9" s="8">
        <v>1744.2342342342067</v>
      </c>
      <c r="E9" s="8">
        <v>0</v>
      </c>
      <c r="F9" s="8">
        <v>75</v>
      </c>
      <c r="G9" s="8">
        <v>0</v>
      </c>
      <c r="H9" s="8">
        <v>0</v>
      </c>
    </row>
    <row r="10" spans="1:8" x14ac:dyDescent="0.25">
      <c r="B10" s="8" t="s">
        <v>47</v>
      </c>
      <c r="C10" s="8" t="s">
        <v>48</v>
      </c>
      <c r="D10" s="8">
        <v>873.33333333335838</v>
      </c>
      <c r="E10" s="8">
        <v>0</v>
      </c>
      <c r="F10" s="8">
        <v>75</v>
      </c>
      <c r="G10" s="8">
        <v>0</v>
      </c>
      <c r="H10" s="8">
        <v>2.2331343123888933E-13</v>
      </c>
    </row>
    <row r="11" spans="1:8" x14ac:dyDescent="0.25">
      <c r="B11" s="8" t="s">
        <v>49</v>
      </c>
      <c r="C11" s="8" t="s">
        <v>50</v>
      </c>
      <c r="D11" s="8">
        <v>350.00000000000057</v>
      </c>
      <c r="E11" s="8">
        <v>0</v>
      </c>
      <c r="F11" s="8">
        <v>75</v>
      </c>
      <c r="G11" s="8">
        <v>0</v>
      </c>
      <c r="H11" s="8">
        <v>0</v>
      </c>
    </row>
    <row r="12" spans="1:8" x14ac:dyDescent="0.25">
      <c r="B12" s="8" t="s">
        <v>51</v>
      </c>
      <c r="C12" s="8" t="s">
        <v>52</v>
      </c>
      <c r="D12" s="8">
        <v>1832.4324324324334</v>
      </c>
      <c r="E12" s="8">
        <v>0</v>
      </c>
      <c r="F12" s="8">
        <v>75</v>
      </c>
      <c r="G12" s="8">
        <v>0</v>
      </c>
      <c r="H12" s="8">
        <v>0</v>
      </c>
    </row>
    <row r="13" spans="1:8" x14ac:dyDescent="0.25">
      <c r="B13" s="8" t="s">
        <v>53</v>
      </c>
      <c r="C13" s="8" t="s">
        <v>54</v>
      </c>
      <c r="D13" s="8">
        <v>0</v>
      </c>
      <c r="E13" s="8">
        <v>0</v>
      </c>
      <c r="F13" s="8">
        <v>55</v>
      </c>
      <c r="G13" s="8">
        <v>0</v>
      </c>
      <c r="H13" s="8">
        <v>1E+30</v>
      </c>
    </row>
    <row r="14" spans="1:8" x14ac:dyDescent="0.25">
      <c r="B14" s="8" t="s">
        <v>55</v>
      </c>
      <c r="C14" s="8" t="s">
        <v>56</v>
      </c>
      <c r="D14" s="8">
        <v>0</v>
      </c>
      <c r="E14" s="8">
        <v>-1.5631940186722204E-13</v>
      </c>
      <c r="F14" s="8">
        <v>55</v>
      </c>
      <c r="G14" s="8">
        <v>1.5631940186722204E-13</v>
      </c>
      <c r="H14" s="8">
        <v>1E+30</v>
      </c>
    </row>
    <row r="15" spans="1:8" x14ac:dyDescent="0.25">
      <c r="B15" s="8" t="s">
        <v>57</v>
      </c>
      <c r="C15" s="8" t="s">
        <v>58</v>
      </c>
      <c r="D15" s="8">
        <v>2499.9999999999995</v>
      </c>
      <c r="E15" s="8">
        <v>0</v>
      </c>
      <c r="F15" s="8">
        <v>55</v>
      </c>
      <c r="G15" s="8">
        <v>1E+30</v>
      </c>
      <c r="H15" s="8">
        <v>0</v>
      </c>
    </row>
    <row r="16" spans="1:8" x14ac:dyDescent="0.25">
      <c r="B16" s="8" t="s">
        <v>59</v>
      </c>
      <c r="C16" s="8" t="s">
        <v>60</v>
      </c>
      <c r="D16" s="8">
        <v>0</v>
      </c>
      <c r="E16" s="8">
        <v>0</v>
      </c>
      <c r="F16" s="8">
        <v>55</v>
      </c>
      <c r="G16" s="8">
        <v>0</v>
      </c>
      <c r="H16" s="8">
        <v>1E+30</v>
      </c>
    </row>
    <row r="17" spans="1:10" x14ac:dyDescent="0.25">
      <c r="B17" s="8" t="s">
        <v>61</v>
      </c>
      <c r="C17" s="8" t="s">
        <v>62</v>
      </c>
      <c r="D17" s="8">
        <v>0</v>
      </c>
      <c r="E17" s="8">
        <v>-1.1368683772161603E-13</v>
      </c>
      <c r="F17" s="8">
        <v>65</v>
      </c>
      <c r="G17" s="8">
        <v>1.1368683772161603E-13</v>
      </c>
      <c r="H17" s="8">
        <v>1E+30</v>
      </c>
    </row>
    <row r="18" spans="1:10" x14ac:dyDescent="0.25">
      <c r="B18" s="8" t="s">
        <v>63</v>
      </c>
      <c r="C18" s="8" t="s">
        <v>64</v>
      </c>
      <c r="D18" s="8">
        <v>0</v>
      </c>
      <c r="E18" s="8">
        <v>-9.2370555648813024E-14</v>
      </c>
      <c r="F18" s="8">
        <v>65</v>
      </c>
      <c r="G18" s="8">
        <v>9.2370555648813024E-14</v>
      </c>
      <c r="H18" s="8">
        <v>1E+30</v>
      </c>
    </row>
    <row r="19" spans="1:10" x14ac:dyDescent="0.25">
      <c r="B19" s="8" t="s">
        <v>65</v>
      </c>
      <c r="C19" s="8" t="s">
        <v>66</v>
      </c>
      <c r="D19" s="8">
        <v>0</v>
      </c>
      <c r="E19" s="8">
        <v>0</v>
      </c>
      <c r="F19" s="8">
        <v>65</v>
      </c>
      <c r="G19" s="8">
        <v>0</v>
      </c>
      <c r="H19" s="8">
        <v>1E+30</v>
      </c>
    </row>
    <row r="20" spans="1:10" x14ac:dyDescent="0.25">
      <c r="B20" s="8" t="s">
        <v>67</v>
      </c>
      <c r="C20" s="8" t="s">
        <v>68</v>
      </c>
      <c r="D20" s="8">
        <v>1200</v>
      </c>
      <c r="E20" s="8">
        <v>0</v>
      </c>
      <c r="F20" s="8">
        <v>65</v>
      </c>
      <c r="G20" s="8">
        <v>1E+30</v>
      </c>
      <c r="H20" s="8">
        <v>0</v>
      </c>
    </row>
    <row r="21" spans="1:10" x14ac:dyDescent="0.25">
      <c r="B21" s="8" t="s">
        <v>69</v>
      </c>
      <c r="C21" s="8" t="s">
        <v>70</v>
      </c>
      <c r="D21" s="8">
        <v>833.33333333336054</v>
      </c>
      <c r="E21" s="8">
        <v>0</v>
      </c>
      <c r="F21" s="8">
        <v>85</v>
      </c>
      <c r="G21" s="8">
        <v>0</v>
      </c>
      <c r="H21" s="8">
        <v>4.2632564145603853E-14</v>
      </c>
    </row>
    <row r="22" spans="1:10" x14ac:dyDescent="0.25">
      <c r="B22" s="8" t="s">
        <v>71</v>
      </c>
      <c r="C22" s="8" t="s">
        <v>72</v>
      </c>
      <c r="D22" s="8">
        <v>866.66666666663912</v>
      </c>
      <c r="E22" s="8">
        <v>0</v>
      </c>
      <c r="F22" s="8">
        <v>85</v>
      </c>
      <c r="G22" s="8">
        <v>0.84026258205689275</v>
      </c>
      <c r="H22" s="8">
        <v>0</v>
      </c>
    </row>
    <row r="23" spans="1:10" x14ac:dyDescent="0.25">
      <c r="B23" s="8" t="s">
        <v>73</v>
      </c>
      <c r="C23" s="8" t="s">
        <v>74</v>
      </c>
      <c r="D23" s="8">
        <v>0</v>
      </c>
      <c r="E23" s="8">
        <v>0</v>
      </c>
      <c r="F23" s="8">
        <v>85</v>
      </c>
      <c r="G23" s="8">
        <v>0</v>
      </c>
      <c r="H23" s="8">
        <v>1E+30</v>
      </c>
    </row>
    <row r="24" spans="1:10" ht="13" thickBot="1" x14ac:dyDescent="0.3">
      <c r="B24" s="9" t="s">
        <v>75</v>
      </c>
      <c r="C24" s="9" t="s">
        <v>76</v>
      </c>
      <c r="D24" s="9">
        <v>0</v>
      </c>
      <c r="E24" s="9">
        <v>-4.2632564145606011E-14</v>
      </c>
      <c r="F24" s="9">
        <v>85</v>
      </c>
      <c r="G24" s="9">
        <v>4.2632564145606011E-14</v>
      </c>
      <c r="H24" s="9">
        <v>1E+30</v>
      </c>
    </row>
    <row r="26" spans="1:10" ht="13" thickBot="1" x14ac:dyDescent="0.3">
      <c r="A26" t="s">
        <v>40</v>
      </c>
    </row>
    <row r="27" spans="1:10" ht="13" x14ac:dyDescent="0.3">
      <c r="B27" s="10"/>
      <c r="C27" s="10"/>
      <c r="D27" s="10" t="s">
        <v>31</v>
      </c>
      <c r="E27" s="10" t="s">
        <v>41</v>
      </c>
      <c r="F27" s="10" t="s">
        <v>43</v>
      </c>
      <c r="G27" s="10" t="s">
        <v>37</v>
      </c>
      <c r="H27" s="10" t="s">
        <v>37</v>
      </c>
    </row>
    <row r="28" spans="1:10" ht="13.5" thickBot="1" x14ac:dyDescent="0.35">
      <c r="B28" s="11" t="s">
        <v>29</v>
      </c>
      <c r="C28" s="11" t="s">
        <v>30</v>
      </c>
      <c r="D28" s="11" t="s">
        <v>32</v>
      </c>
      <c r="E28" s="11" t="s">
        <v>42</v>
      </c>
      <c r="F28" s="11" t="s">
        <v>44</v>
      </c>
      <c r="G28" s="11" t="s">
        <v>38</v>
      </c>
      <c r="H28" s="11" t="s">
        <v>39</v>
      </c>
    </row>
    <row r="29" spans="1:10" x14ac:dyDescent="0.25">
      <c r="B29" s="8" t="s">
        <v>90</v>
      </c>
      <c r="C29" s="8" t="s">
        <v>89</v>
      </c>
      <c r="D29" s="8">
        <v>4589.9999999999973</v>
      </c>
      <c r="E29" s="8">
        <v>0</v>
      </c>
      <c r="F29" s="8">
        <v>0</v>
      </c>
      <c r="G29" s="8">
        <v>1E+30</v>
      </c>
      <c r="H29" s="8">
        <v>1019.999999999999</v>
      </c>
    </row>
    <row r="30" spans="1:10" x14ac:dyDescent="0.25">
      <c r="B30" s="8" t="s">
        <v>90</v>
      </c>
      <c r="C30" s="8" t="s">
        <v>89</v>
      </c>
      <c r="D30" s="8">
        <v>4589.9999999999973</v>
      </c>
      <c r="E30" s="8">
        <v>-5.6843418860808015E-14</v>
      </c>
      <c r="F30" s="8">
        <v>0</v>
      </c>
      <c r="G30" s="8">
        <v>259.99999999998192</v>
      </c>
      <c r="H30" s="8">
        <v>161.99999999999756</v>
      </c>
    </row>
    <row r="31" spans="1:10" x14ac:dyDescent="0.25">
      <c r="A31" s="13"/>
      <c r="B31" s="14" t="s">
        <v>97</v>
      </c>
      <c r="C31" s="14" t="s">
        <v>85</v>
      </c>
      <c r="D31" s="14">
        <v>141378.37837837875</v>
      </c>
      <c r="E31" s="14">
        <v>0</v>
      </c>
      <c r="F31" s="14">
        <v>170000</v>
      </c>
      <c r="G31" s="14">
        <v>1E+30</v>
      </c>
      <c r="H31" s="14">
        <v>28621.621621621205</v>
      </c>
      <c r="I31" s="15" t="s">
        <v>21</v>
      </c>
      <c r="J31" s="15"/>
    </row>
    <row r="32" spans="1:10" x14ac:dyDescent="0.25">
      <c r="A32" s="13"/>
      <c r="B32" s="14" t="s">
        <v>98</v>
      </c>
      <c r="C32" s="14" t="s">
        <v>86</v>
      </c>
      <c r="D32" s="14">
        <v>99999.999999999462</v>
      </c>
      <c r="E32" s="14">
        <v>3.5527136788005009E-15</v>
      </c>
      <c r="F32" s="14">
        <v>100000</v>
      </c>
      <c r="G32" s="14">
        <v>12499.999999999933</v>
      </c>
      <c r="H32" s="14">
        <v>12999.999999999089</v>
      </c>
      <c r="I32" s="15"/>
      <c r="J32" s="15"/>
    </row>
    <row r="33" spans="1:10" x14ac:dyDescent="0.25">
      <c r="A33" s="13"/>
      <c r="B33" s="14" t="s">
        <v>99</v>
      </c>
      <c r="C33" s="14" t="s">
        <v>87</v>
      </c>
      <c r="D33" s="14">
        <v>105000.00000000001</v>
      </c>
      <c r="E33" s="14">
        <v>0</v>
      </c>
      <c r="F33" s="14">
        <v>105000</v>
      </c>
      <c r="G33" s="14">
        <v>7500.0000000000027</v>
      </c>
      <c r="H33" s="14">
        <v>12999.999999999094</v>
      </c>
      <c r="I33" s="15"/>
      <c r="J33" s="15"/>
    </row>
    <row r="34" spans="1:10" x14ac:dyDescent="0.25">
      <c r="A34" s="13"/>
      <c r="B34" s="14" t="s">
        <v>100</v>
      </c>
      <c r="C34" s="14" t="s">
        <v>88</v>
      </c>
      <c r="D34" s="14">
        <v>175621.62162162166</v>
      </c>
      <c r="E34" s="14">
        <v>0</v>
      </c>
      <c r="F34" s="14">
        <v>180000</v>
      </c>
      <c r="G34" s="14">
        <v>1E+30</v>
      </c>
      <c r="H34" s="14">
        <v>4378.378378378321</v>
      </c>
      <c r="I34" s="15"/>
      <c r="J34" s="15"/>
    </row>
    <row r="35" spans="1:10" x14ac:dyDescent="0.25">
      <c r="B35" s="8" t="s">
        <v>77</v>
      </c>
      <c r="C35" s="8" t="s">
        <v>78</v>
      </c>
      <c r="D35" s="8">
        <v>4799.9999999999991</v>
      </c>
      <c r="E35" s="8">
        <v>75.000000000000028</v>
      </c>
      <c r="F35" s="8">
        <v>4800</v>
      </c>
      <c r="G35" s="8">
        <v>294.54545454545098</v>
      </c>
      <c r="H35" s="8">
        <v>447.86324786324786</v>
      </c>
    </row>
    <row r="36" spans="1:10" x14ac:dyDescent="0.25">
      <c r="B36" s="8" t="s">
        <v>79</v>
      </c>
      <c r="C36" s="8" t="s">
        <v>80</v>
      </c>
      <c r="D36" s="8">
        <v>2499.9999999999995</v>
      </c>
      <c r="E36" s="8">
        <v>55.000000000000028</v>
      </c>
      <c r="F36" s="8">
        <v>2500</v>
      </c>
      <c r="G36" s="8">
        <v>294.54545454545053</v>
      </c>
      <c r="H36" s="8">
        <v>1343.5897435897448</v>
      </c>
    </row>
    <row r="37" spans="1:10" x14ac:dyDescent="0.25">
      <c r="B37" s="8" t="s">
        <v>81</v>
      </c>
      <c r="C37" s="8" t="s">
        <v>82</v>
      </c>
      <c r="D37" s="8">
        <v>1200</v>
      </c>
      <c r="E37" s="8">
        <v>65.000000000000099</v>
      </c>
      <c r="F37" s="8">
        <v>1200</v>
      </c>
      <c r="G37" s="8">
        <v>125.58139534883557</v>
      </c>
      <c r="H37" s="8">
        <v>447.86324786324752</v>
      </c>
    </row>
    <row r="38" spans="1:10" x14ac:dyDescent="0.25">
      <c r="B38" s="8" t="s">
        <v>83</v>
      </c>
      <c r="C38" s="8" t="s">
        <v>84</v>
      </c>
      <c r="D38" s="8">
        <v>1699.9999999999995</v>
      </c>
      <c r="E38" s="8">
        <v>84.999999999999986</v>
      </c>
      <c r="F38" s="8">
        <v>1700</v>
      </c>
      <c r="G38" s="8">
        <v>294.54545454545121</v>
      </c>
      <c r="H38" s="8">
        <v>333.33333333333132</v>
      </c>
    </row>
    <row r="39" spans="1:10" x14ac:dyDescent="0.25">
      <c r="B39" s="8" t="s">
        <v>93</v>
      </c>
      <c r="C39" s="8" t="s">
        <v>85</v>
      </c>
      <c r="D39" s="8">
        <v>2577.5675675675675</v>
      </c>
      <c r="E39" s="8">
        <v>0</v>
      </c>
      <c r="F39" s="8">
        <v>0</v>
      </c>
      <c r="G39" s="8">
        <v>1E+30</v>
      </c>
      <c r="H39" s="8">
        <v>909.72972972974537</v>
      </c>
    </row>
    <row r="40" spans="1:10" x14ac:dyDescent="0.25">
      <c r="B40" s="8" t="s">
        <v>93</v>
      </c>
      <c r="C40" s="8" t="s">
        <v>85</v>
      </c>
      <c r="D40" s="8">
        <v>2577.5675675675675</v>
      </c>
      <c r="E40" s="8">
        <v>0</v>
      </c>
      <c r="F40" s="8">
        <v>0</v>
      </c>
      <c r="G40" s="8">
        <v>781.5</v>
      </c>
      <c r="H40" s="8">
        <v>161.99999999999784</v>
      </c>
    </row>
    <row r="41" spans="1:10" x14ac:dyDescent="0.25">
      <c r="B41" s="8" t="s">
        <v>93</v>
      </c>
      <c r="C41" s="8" t="s">
        <v>85</v>
      </c>
      <c r="D41" s="8">
        <v>2577.5675675675675</v>
      </c>
      <c r="E41" s="8">
        <v>0</v>
      </c>
      <c r="F41" s="8">
        <v>3000</v>
      </c>
      <c r="G41" s="8">
        <v>1E+30</v>
      </c>
      <c r="H41" s="8">
        <v>422.43243243243262</v>
      </c>
    </row>
    <row r="42" spans="1:10" x14ac:dyDescent="0.25">
      <c r="B42" s="8" t="s">
        <v>94</v>
      </c>
      <c r="C42" s="8" t="s">
        <v>86</v>
      </c>
      <c r="D42" s="8">
        <v>1739.9999999999975</v>
      </c>
      <c r="E42" s="8">
        <v>0</v>
      </c>
      <c r="F42" s="8">
        <v>3000</v>
      </c>
      <c r="G42" s="8">
        <v>1E+30</v>
      </c>
      <c r="H42" s="8">
        <v>1260.0000000000025</v>
      </c>
    </row>
    <row r="43" spans="1:10" x14ac:dyDescent="0.25">
      <c r="B43" s="8" t="s">
        <v>95</v>
      </c>
      <c r="C43" s="8" t="s">
        <v>87</v>
      </c>
      <c r="D43" s="8">
        <v>2850</v>
      </c>
      <c r="E43" s="8">
        <v>0</v>
      </c>
      <c r="F43" s="8">
        <v>3000</v>
      </c>
      <c r="G43" s="8">
        <v>1E+30</v>
      </c>
      <c r="H43" s="8">
        <v>149.99999999999972</v>
      </c>
    </row>
    <row r="44" spans="1:10" ht="13" thickBot="1" x14ac:dyDescent="0.3">
      <c r="B44" s="9" t="s">
        <v>96</v>
      </c>
      <c r="C44" s="9" t="s">
        <v>88</v>
      </c>
      <c r="D44" s="9">
        <v>3032.4324324324334</v>
      </c>
      <c r="E44" s="9">
        <v>0</v>
      </c>
      <c r="F44" s="9">
        <v>4000</v>
      </c>
      <c r="G44" s="9">
        <v>1E+30</v>
      </c>
      <c r="H44" s="9">
        <v>967.56756756756693</v>
      </c>
    </row>
  </sheetData>
  <mergeCells count="1">
    <mergeCell ref="I31:J3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A98DD-76C5-46A0-88F2-B377FC2508E1}">
  <dimension ref="A1:J36"/>
  <sheetViews>
    <sheetView topLeftCell="A6" zoomScaleNormal="100" workbookViewId="0">
      <selection activeCell="B17" sqref="B17"/>
    </sheetView>
  </sheetViews>
  <sheetFormatPr defaultRowHeight="12.5" x14ac:dyDescent="0.25"/>
  <cols>
    <col min="1" max="1" width="20.08984375" style="3" customWidth="1"/>
    <col min="2" max="2" width="15.54296875" style="3" customWidth="1"/>
    <col min="3" max="3" width="11.36328125" style="3" bestFit="1" customWidth="1"/>
    <col min="4" max="4" width="23" style="3" customWidth="1"/>
    <col min="5" max="5" width="13.7265625" style="3" customWidth="1"/>
    <col min="6" max="6" width="8.7265625" style="3"/>
    <col min="7" max="7" width="14.90625" style="3" customWidth="1"/>
    <col min="8" max="16384" width="8.7265625" style="3"/>
  </cols>
  <sheetData>
    <row r="1" spans="1:10" ht="13" x14ac:dyDescent="0.25">
      <c r="A1" s="1" t="s">
        <v>3</v>
      </c>
      <c r="B1" s="2"/>
      <c r="C1" s="2"/>
      <c r="D1" s="2"/>
      <c r="E1" s="2"/>
      <c r="F1" s="2"/>
      <c r="G1" s="2"/>
    </row>
    <row r="2" spans="1:10" x14ac:dyDescent="0.25">
      <c r="A2" s="2" t="s">
        <v>4</v>
      </c>
      <c r="B2" s="2">
        <v>75</v>
      </c>
      <c r="C2" s="2"/>
      <c r="D2" s="2"/>
      <c r="E2" s="2"/>
      <c r="F2" s="2"/>
      <c r="G2" s="2"/>
    </row>
    <row r="3" spans="1:10" x14ac:dyDescent="0.25">
      <c r="A3" s="2" t="s">
        <v>5</v>
      </c>
      <c r="B3" s="2">
        <v>55</v>
      </c>
      <c r="C3" s="2"/>
      <c r="D3" s="2"/>
      <c r="E3" s="2"/>
      <c r="F3" s="2"/>
      <c r="G3" s="2"/>
    </row>
    <row r="4" spans="1:10" x14ac:dyDescent="0.25">
      <c r="A4" s="2" t="s">
        <v>6</v>
      </c>
      <c r="B4" s="2">
        <v>65</v>
      </c>
      <c r="C4" s="2"/>
      <c r="D4" s="2"/>
      <c r="E4" s="2"/>
      <c r="F4" s="2"/>
      <c r="G4" s="2"/>
    </row>
    <row r="5" spans="1:10" x14ac:dyDescent="0.25">
      <c r="A5" s="2" t="s">
        <v>7</v>
      </c>
      <c r="B5" s="2">
        <v>85</v>
      </c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s="5" customFormat="1" x14ac:dyDescent="0.25">
      <c r="A7" s="4" t="s">
        <v>22</v>
      </c>
      <c r="B7" s="4"/>
      <c r="C7" s="4"/>
      <c r="D7" s="4"/>
      <c r="E7" s="4"/>
      <c r="F7" s="4"/>
      <c r="G7" s="4"/>
    </row>
    <row r="8" spans="1:10" ht="25" x14ac:dyDescent="0.25">
      <c r="A8" s="1"/>
      <c r="B8" s="2" t="s">
        <v>8</v>
      </c>
      <c r="C8" s="2" t="s">
        <v>9</v>
      </c>
      <c r="D8" s="2" t="s">
        <v>10</v>
      </c>
      <c r="E8" s="2" t="s">
        <v>11</v>
      </c>
      <c r="F8" s="2" t="s">
        <v>2</v>
      </c>
      <c r="G8" s="2" t="s">
        <v>0</v>
      </c>
      <c r="H8" s="6" t="s">
        <v>24</v>
      </c>
    </row>
    <row r="9" spans="1:10" x14ac:dyDescent="0.25">
      <c r="A9" s="2" t="s">
        <v>4</v>
      </c>
      <c r="B9" s="2">
        <v>1744.2342342342067</v>
      </c>
      <c r="C9" s="2">
        <v>873.33333333335838</v>
      </c>
      <c r="D9" s="2">
        <v>350.00000000000057</v>
      </c>
      <c r="E9" s="2">
        <v>1832.4324324324334</v>
      </c>
      <c r="F9" s="2">
        <f>SUM(B9:E9)</f>
        <v>4799.9999999999991</v>
      </c>
      <c r="G9" s="2">
        <v>4800</v>
      </c>
      <c r="H9" s="2">
        <v>50</v>
      </c>
    </row>
    <row r="10" spans="1:10" x14ac:dyDescent="0.25">
      <c r="A10" s="2" t="s">
        <v>5</v>
      </c>
      <c r="B10" s="2">
        <v>0</v>
      </c>
      <c r="C10" s="2">
        <v>0</v>
      </c>
      <c r="D10" s="2">
        <v>2499.9999999999995</v>
      </c>
      <c r="E10" s="2">
        <v>0</v>
      </c>
      <c r="F10" s="2">
        <f t="shared" ref="F10:F12" si="0">SUM(B10:E10)</f>
        <v>2499.9999999999995</v>
      </c>
      <c r="G10" s="2">
        <v>2500</v>
      </c>
      <c r="H10" s="2">
        <v>35</v>
      </c>
    </row>
    <row r="11" spans="1:10" x14ac:dyDescent="0.25">
      <c r="A11" s="2" t="s">
        <v>6</v>
      </c>
      <c r="B11" s="2">
        <v>0</v>
      </c>
      <c r="C11" s="2">
        <v>0</v>
      </c>
      <c r="D11" s="2">
        <v>0</v>
      </c>
      <c r="E11" s="2">
        <v>1200</v>
      </c>
      <c r="F11" s="2">
        <f t="shared" si="0"/>
        <v>1200</v>
      </c>
      <c r="G11" s="2">
        <v>1200</v>
      </c>
      <c r="H11" s="2">
        <v>70</v>
      </c>
    </row>
    <row r="12" spans="1:10" x14ac:dyDescent="0.25">
      <c r="A12" s="2" t="s">
        <v>7</v>
      </c>
      <c r="B12" s="2">
        <v>833.33333333336054</v>
      </c>
      <c r="C12" s="2">
        <v>866.66666666663912</v>
      </c>
      <c r="D12" s="2">
        <v>0</v>
      </c>
      <c r="E12" s="2">
        <v>0</v>
      </c>
      <c r="F12" s="2">
        <f t="shared" si="0"/>
        <v>1699.9999999999995</v>
      </c>
      <c r="G12" s="2">
        <v>1700</v>
      </c>
      <c r="H12" s="2">
        <v>65</v>
      </c>
    </row>
    <row r="13" spans="1:10" x14ac:dyDescent="0.25">
      <c r="A13" s="4" t="s">
        <v>91</v>
      </c>
      <c r="B13" s="2"/>
      <c r="C13" s="2"/>
      <c r="D13" s="2"/>
      <c r="E13" s="2"/>
      <c r="F13" s="2"/>
      <c r="G13" s="2"/>
      <c r="H13" s="2"/>
    </row>
    <row r="14" spans="1:10" x14ac:dyDescent="0.25">
      <c r="A14" s="2" t="s">
        <v>12</v>
      </c>
      <c r="B14" s="2">
        <f>SUM(B9:B12)</f>
        <v>2577.5675675675675</v>
      </c>
      <c r="C14" s="2">
        <f>SUM(C9:C12)</f>
        <v>1739.9999999999975</v>
      </c>
      <c r="D14" s="2">
        <f>SUM(D9:D12)</f>
        <v>2850</v>
      </c>
      <c r="E14" s="2">
        <f>SUM(E9:E12)</f>
        <v>3032.4324324324334</v>
      </c>
      <c r="F14" s="12">
        <f>SUM(B14:E14)</f>
        <v>10199.999999999998</v>
      </c>
      <c r="G14" s="2"/>
    </row>
    <row r="15" spans="1:10" x14ac:dyDescent="0.25">
      <c r="A15" s="2" t="s">
        <v>1</v>
      </c>
      <c r="B15" s="2">
        <v>3000</v>
      </c>
      <c r="C15" s="2">
        <v>3000</v>
      </c>
      <c r="D15" s="2">
        <v>3000</v>
      </c>
      <c r="E15" s="2">
        <v>4000</v>
      </c>
      <c r="F15" s="2"/>
      <c r="G15" s="2"/>
      <c r="J15" s="2"/>
    </row>
    <row r="16" spans="1:10" x14ac:dyDescent="0.25">
      <c r="A16" s="4" t="s">
        <v>21</v>
      </c>
      <c r="B16" s="2"/>
      <c r="C16" s="2"/>
      <c r="D16" s="2"/>
      <c r="E16" s="2"/>
      <c r="F16" s="2"/>
      <c r="G16" s="2"/>
      <c r="J16" s="2"/>
    </row>
    <row r="17" spans="1:10" x14ac:dyDescent="0.25">
      <c r="A17" s="2" t="s">
        <v>12</v>
      </c>
      <c r="B17" s="2">
        <f>SUMPRODUCT(B9:B12,$H$9:$H$12)</f>
        <v>141378.37837837875</v>
      </c>
      <c r="C17" s="2">
        <f>SUMPRODUCT(C9:C12,$H$9:$H$12)</f>
        <v>99999.999999999462</v>
      </c>
      <c r="D17" s="2">
        <f>SUMPRODUCT(D9:D12,$H$9:$H$12)</f>
        <v>105000.00000000001</v>
      </c>
      <c r="E17" s="2">
        <f>SUMPRODUCT(E9:E12,$H$9:$H$12)</f>
        <v>175621.62162162166</v>
      </c>
      <c r="F17" s="12">
        <f>SUM(B17:E17)</f>
        <v>521999.99999999988</v>
      </c>
      <c r="G17" s="2"/>
      <c r="J17" s="2"/>
    </row>
    <row r="18" spans="1:10" x14ac:dyDescent="0.25">
      <c r="A18" s="2" t="s">
        <v>1</v>
      </c>
      <c r="B18" s="2">
        <v>170000</v>
      </c>
      <c r="C18" s="2">
        <v>100000</v>
      </c>
      <c r="D18" s="2">
        <v>105000</v>
      </c>
      <c r="E18" s="2">
        <v>180000</v>
      </c>
      <c r="F18" s="2"/>
      <c r="G18" s="2"/>
      <c r="J18" s="2"/>
    </row>
    <row r="19" spans="1:10" x14ac:dyDescent="0.25">
      <c r="A19" s="2"/>
      <c r="B19" s="2"/>
      <c r="C19" s="2"/>
      <c r="D19" s="2"/>
      <c r="E19" s="2"/>
      <c r="F19" s="2"/>
      <c r="G19" s="2"/>
      <c r="J19" s="2"/>
    </row>
    <row r="20" spans="1:10" x14ac:dyDescent="0.25">
      <c r="A20" s="2"/>
      <c r="B20" s="2"/>
      <c r="C20" s="2"/>
      <c r="D20" s="2"/>
      <c r="E20" s="2"/>
      <c r="F20" s="2"/>
      <c r="G20" s="2"/>
      <c r="J20" s="2"/>
    </row>
    <row r="21" spans="1:10" x14ac:dyDescent="0.25">
      <c r="A21" s="2"/>
      <c r="B21" s="2"/>
      <c r="C21" s="2"/>
      <c r="D21" s="2"/>
      <c r="E21" s="2"/>
      <c r="F21" s="2"/>
      <c r="G21" s="2"/>
    </row>
    <row r="22" spans="1:10" x14ac:dyDescent="0.25">
      <c r="A22" s="2"/>
      <c r="B22" s="2"/>
      <c r="C22" s="2"/>
      <c r="D22" s="2"/>
      <c r="E22" s="2" t="s">
        <v>13</v>
      </c>
      <c r="F22" s="2">
        <f>SUMPRODUCT(B2:B5,F9:F12)</f>
        <v>719999.99999999988</v>
      </c>
      <c r="G22" s="2"/>
      <c r="J22" s="2"/>
    </row>
    <row r="23" spans="1:10" ht="25" x14ac:dyDescent="0.25">
      <c r="E23" s="2" t="s">
        <v>16</v>
      </c>
      <c r="F23" s="3">
        <f>SUMPRODUCT(B2:B5,F9:F12) - (SUMPRODUCT(B2:B5,F9:F12)*0.1)</f>
        <v>647999.99999999988</v>
      </c>
    </row>
    <row r="24" spans="1:10" x14ac:dyDescent="0.25">
      <c r="E24" s="2"/>
    </row>
    <row r="26" spans="1:10" x14ac:dyDescent="0.25">
      <c r="B26" s="3" t="s">
        <v>17</v>
      </c>
      <c r="C26" s="3" t="s">
        <v>18</v>
      </c>
      <c r="E26" s="2"/>
    </row>
    <row r="27" spans="1:10" ht="37.5" x14ac:dyDescent="0.25">
      <c r="A27" s="2" t="s">
        <v>14</v>
      </c>
      <c r="B27" s="3">
        <f>$E$14*0.85</f>
        <v>2577.5675675675684</v>
      </c>
      <c r="C27" s="3">
        <f>$E$14*1.15</f>
        <v>3487.297297297298</v>
      </c>
      <c r="D27" s="3" t="s">
        <v>19</v>
      </c>
    </row>
    <row r="28" spans="1:10" ht="56" customHeight="1" x14ac:dyDescent="0.25">
      <c r="A28" s="3" t="s">
        <v>20</v>
      </c>
      <c r="B28" s="3">
        <f>SUM(B14:E14)</f>
        <v>10199.999999999998</v>
      </c>
    </row>
    <row r="29" spans="1:10" ht="37.5" x14ac:dyDescent="0.25">
      <c r="A29" s="2" t="s">
        <v>23</v>
      </c>
      <c r="B29" s="3">
        <f>$B$28*0.45</f>
        <v>4589.9999999999991</v>
      </c>
      <c r="C29" s="3">
        <f>$B$28*0.55</f>
        <v>5609.9999999999991</v>
      </c>
      <c r="D29" s="2" t="s">
        <v>25</v>
      </c>
    </row>
    <row r="30" spans="1:10" ht="25" x14ac:dyDescent="0.25">
      <c r="A30" s="2" t="s">
        <v>26</v>
      </c>
      <c r="B30" s="3">
        <f>SUM(C14:D14)</f>
        <v>4589.9999999999973</v>
      </c>
      <c r="D30" s="2"/>
    </row>
    <row r="31" spans="1:10" s="5" customFormat="1" x14ac:dyDescent="0.25">
      <c r="E31" s="4"/>
    </row>
    <row r="32" spans="1:10" ht="13" x14ac:dyDescent="0.25">
      <c r="A32" s="1"/>
      <c r="B32" s="2" t="s">
        <v>8</v>
      </c>
      <c r="C32" s="2" t="s">
        <v>9</v>
      </c>
      <c r="D32" s="2" t="s">
        <v>10</v>
      </c>
      <c r="E32" s="2" t="s">
        <v>11</v>
      </c>
      <c r="F32" s="2" t="s">
        <v>2</v>
      </c>
    </row>
    <row r="33" spans="1:6" x14ac:dyDescent="0.25">
      <c r="A33" s="2" t="s">
        <v>4</v>
      </c>
      <c r="B33" s="2">
        <f>B9</f>
        <v>1744.2342342342067</v>
      </c>
      <c r="C33" s="2">
        <f t="shared" ref="C33:E33" si="1">C9</f>
        <v>873.33333333335838</v>
      </c>
      <c r="D33" s="2">
        <f t="shared" si="1"/>
        <v>350.00000000000057</v>
      </c>
      <c r="E33" s="2">
        <f t="shared" si="1"/>
        <v>1832.4324324324334</v>
      </c>
      <c r="F33" s="2">
        <f>F9</f>
        <v>4799.9999999999991</v>
      </c>
    </row>
    <row r="34" spans="1:6" x14ac:dyDescent="0.25">
      <c r="A34" s="2" t="s">
        <v>5</v>
      </c>
      <c r="B34" s="2">
        <f>B10</f>
        <v>0</v>
      </c>
      <c r="C34" s="2">
        <f t="shared" ref="C34:E36" si="2">C10</f>
        <v>0</v>
      </c>
      <c r="D34" s="2">
        <f t="shared" si="2"/>
        <v>2499.9999999999995</v>
      </c>
      <c r="E34" s="2">
        <f t="shared" si="2"/>
        <v>0</v>
      </c>
      <c r="F34" s="2">
        <f>F10</f>
        <v>2499.9999999999995</v>
      </c>
    </row>
    <row r="35" spans="1:6" x14ac:dyDescent="0.25">
      <c r="A35" s="2" t="s">
        <v>6</v>
      </c>
      <c r="B35" s="2">
        <f>B11</f>
        <v>0</v>
      </c>
      <c r="C35" s="2">
        <f t="shared" si="2"/>
        <v>0</v>
      </c>
      <c r="D35" s="2">
        <f t="shared" si="2"/>
        <v>0</v>
      </c>
      <c r="E35" s="2">
        <f t="shared" si="2"/>
        <v>1200</v>
      </c>
      <c r="F35" s="2">
        <f>F11</f>
        <v>1200</v>
      </c>
    </row>
    <row r="36" spans="1:6" x14ac:dyDescent="0.25">
      <c r="A36" s="2" t="s">
        <v>7</v>
      </c>
      <c r="B36" s="2">
        <f>B12</f>
        <v>833.33333333336054</v>
      </c>
      <c r="C36" s="2">
        <f t="shared" si="2"/>
        <v>866.66666666663912</v>
      </c>
      <c r="D36" s="2">
        <f t="shared" si="2"/>
        <v>0</v>
      </c>
      <c r="E36" s="2">
        <f t="shared" si="2"/>
        <v>0</v>
      </c>
      <c r="F36" s="2">
        <f>F12</f>
        <v>1699.9999999999995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F1AF7-B4B4-45F0-836F-DBCFCE7B2610}">
  <dimension ref="A1:J32"/>
  <sheetViews>
    <sheetView topLeftCell="A13" zoomScale="85" zoomScaleNormal="85" workbookViewId="0">
      <selection activeCell="A31" sqref="A31:F32"/>
    </sheetView>
  </sheetViews>
  <sheetFormatPr defaultRowHeight="12.5" x14ac:dyDescent="0.25"/>
  <cols>
    <col min="1" max="1" width="20.08984375" style="3" customWidth="1"/>
    <col min="2" max="2" width="15.54296875" style="3" customWidth="1"/>
    <col min="3" max="3" width="11.36328125" style="3" bestFit="1" customWidth="1"/>
    <col min="4" max="4" width="23" style="3" customWidth="1"/>
    <col min="5" max="5" width="13.7265625" style="3" customWidth="1"/>
    <col min="6" max="6" width="8.7265625" style="3"/>
    <col min="7" max="7" width="14.90625" style="3" customWidth="1"/>
    <col min="8" max="16384" width="8.7265625" style="3"/>
  </cols>
  <sheetData>
    <row r="1" spans="1:10" ht="13" x14ac:dyDescent="0.25">
      <c r="A1" s="1" t="s">
        <v>3</v>
      </c>
      <c r="B1" s="2"/>
      <c r="C1" s="2"/>
      <c r="D1" s="2"/>
      <c r="E1" s="2"/>
      <c r="F1" s="2"/>
      <c r="G1" s="2"/>
    </row>
    <row r="2" spans="1:10" x14ac:dyDescent="0.25">
      <c r="A2" s="2" t="s">
        <v>4</v>
      </c>
      <c r="B2" s="2">
        <v>75</v>
      </c>
      <c r="C2" s="2"/>
      <c r="D2" s="2"/>
      <c r="E2" s="2"/>
      <c r="F2" s="2"/>
      <c r="G2" s="2"/>
    </row>
    <row r="3" spans="1:10" x14ac:dyDescent="0.25">
      <c r="A3" s="2" t="s">
        <v>5</v>
      </c>
      <c r="B3" s="2">
        <v>55</v>
      </c>
      <c r="C3" s="2"/>
      <c r="D3" s="2"/>
      <c r="E3" s="2"/>
      <c r="F3" s="2"/>
      <c r="G3" s="2"/>
    </row>
    <row r="4" spans="1:10" x14ac:dyDescent="0.25">
      <c r="A4" s="2" t="s">
        <v>6</v>
      </c>
      <c r="B4" s="2">
        <v>65</v>
      </c>
      <c r="C4" s="2"/>
      <c r="D4" s="2"/>
      <c r="E4" s="2"/>
      <c r="F4" s="2"/>
      <c r="G4" s="2"/>
    </row>
    <row r="5" spans="1:10" x14ac:dyDescent="0.25">
      <c r="A5" s="2" t="s">
        <v>7</v>
      </c>
      <c r="B5" s="2">
        <v>85</v>
      </c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s="5" customFormat="1" x14ac:dyDescent="0.25">
      <c r="A7" s="4" t="s">
        <v>22</v>
      </c>
      <c r="B7" s="4"/>
      <c r="C7" s="4"/>
      <c r="D7" s="4"/>
      <c r="E7" s="4"/>
      <c r="F7" s="4"/>
      <c r="G7" s="4"/>
    </row>
    <row r="8" spans="1:10" ht="25" x14ac:dyDescent="0.25">
      <c r="A8" s="1"/>
      <c r="B8" s="2" t="s">
        <v>8</v>
      </c>
      <c r="C8" s="2" t="s">
        <v>9</v>
      </c>
      <c r="D8" s="2" t="s">
        <v>10</v>
      </c>
      <c r="E8" s="2" t="s">
        <v>11</v>
      </c>
      <c r="F8" s="2" t="s">
        <v>2</v>
      </c>
      <c r="G8" s="2" t="s">
        <v>0</v>
      </c>
    </row>
    <row r="9" spans="1:10" x14ac:dyDescent="0.25">
      <c r="A9" s="2" t="s">
        <v>4</v>
      </c>
      <c r="B9" s="2">
        <v>1720</v>
      </c>
      <c r="C9" s="2">
        <v>873.3333333333278</v>
      </c>
      <c r="D9" s="2">
        <v>350</v>
      </c>
      <c r="E9" s="2">
        <v>1856.6666666666733</v>
      </c>
      <c r="F9" s="2">
        <f>SUM(B9:E9)</f>
        <v>4800.0000000000009</v>
      </c>
      <c r="G9" s="2">
        <v>4800</v>
      </c>
    </row>
    <row r="10" spans="1:10" x14ac:dyDescent="0.25">
      <c r="A10" s="2" t="s">
        <v>5</v>
      </c>
      <c r="B10" s="2">
        <v>0</v>
      </c>
      <c r="C10" s="2">
        <v>0</v>
      </c>
      <c r="D10" s="2">
        <v>2500</v>
      </c>
      <c r="E10" s="2">
        <v>0</v>
      </c>
      <c r="F10" s="2">
        <f t="shared" ref="F10:F12" si="0">SUM(B10:E10)</f>
        <v>2500</v>
      </c>
      <c r="G10" s="2">
        <v>2500</v>
      </c>
    </row>
    <row r="11" spans="1:10" x14ac:dyDescent="0.25">
      <c r="A11" s="2" t="s">
        <v>6</v>
      </c>
      <c r="B11" s="2">
        <v>1200</v>
      </c>
      <c r="C11" s="2">
        <v>0</v>
      </c>
      <c r="D11" s="2">
        <v>0</v>
      </c>
      <c r="E11" s="2">
        <v>0</v>
      </c>
      <c r="F11" s="2">
        <f t="shared" si="0"/>
        <v>1200</v>
      </c>
      <c r="G11" s="2">
        <v>1200</v>
      </c>
    </row>
    <row r="12" spans="1:10" x14ac:dyDescent="0.25">
      <c r="A12" s="2" t="s">
        <v>7</v>
      </c>
      <c r="B12" s="2">
        <v>0</v>
      </c>
      <c r="C12" s="2">
        <v>866.66666666666993</v>
      </c>
      <c r="D12" s="2">
        <v>0</v>
      </c>
      <c r="E12" s="2">
        <v>833.33333333332871</v>
      </c>
      <c r="F12" s="2">
        <f t="shared" si="0"/>
        <v>1699.9999999999986</v>
      </c>
      <c r="G12" s="2">
        <v>1700</v>
      </c>
    </row>
    <row r="13" spans="1:10" x14ac:dyDescent="0.25">
      <c r="A13" s="2" t="s">
        <v>12</v>
      </c>
      <c r="B13" s="2">
        <f>SUM(B9:B12)</f>
        <v>2920</v>
      </c>
      <c r="C13" s="2">
        <f>SUM(C9:C12)</f>
        <v>1739.9999999999977</v>
      </c>
      <c r="D13" s="2">
        <f>SUM(D9:D12)</f>
        <v>2850</v>
      </c>
      <c r="E13" s="2">
        <f>SUM(E9:E12)</f>
        <v>2690.0000000000018</v>
      </c>
      <c r="F13" s="12">
        <f>SUM(B13:E13)</f>
        <v>10200</v>
      </c>
      <c r="G13" s="2"/>
    </row>
    <row r="14" spans="1:10" x14ac:dyDescent="0.25">
      <c r="A14" s="2" t="s">
        <v>1</v>
      </c>
      <c r="B14" s="2">
        <v>3000</v>
      </c>
      <c r="C14" s="2">
        <v>3000</v>
      </c>
      <c r="D14" s="2">
        <v>3000</v>
      </c>
      <c r="E14" s="2">
        <v>4000</v>
      </c>
      <c r="F14" s="2"/>
      <c r="G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 t="s">
        <v>13</v>
      </c>
      <c r="F16" s="2">
        <f>SUMPRODUCT(B2:B5,F9:F12)</f>
        <v>719999.99999999988</v>
      </c>
      <c r="G16" s="2"/>
      <c r="J16" s="2"/>
    </row>
    <row r="17" spans="1:7" ht="25" x14ac:dyDescent="0.25">
      <c r="E17" s="2" t="s">
        <v>16</v>
      </c>
      <c r="F17" s="3">
        <f>SUMPRODUCT(B2:B5,F9:F12) - (SUMPRODUCT(B2:B5,F9:F12)*0.1)</f>
        <v>647999.99999999988</v>
      </c>
    </row>
    <row r="18" spans="1:7" x14ac:dyDescent="0.25">
      <c r="E18" s="2"/>
    </row>
    <row r="20" spans="1:7" x14ac:dyDescent="0.25">
      <c r="B20" s="3" t="s">
        <v>17</v>
      </c>
      <c r="C20" s="3" t="s">
        <v>18</v>
      </c>
      <c r="E20" s="2"/>
    </row>
    <row r="21" spans="1:7" ht="37.5" x14ac:dyDescent="0.25">
      <c r="A21" s="2" t="s">
        <v>14</v>
      </c>
      <c r="B21" s="3">
        <f>$E$13*0.85</f>
        <v>2286.5000000000014</v>
      </c>
      <c r="C21" s="3">
        <f>$E$13*1.15</f>
        <v>3093.5000000000018</v>
      </c>
      <c r="D21" s="3" t="s">
        <v>19</v>
      </c>
    </row>
    <row r="22" spans="1:7" ht="56" customHeight="1" x14ac:dyDescent="0.25">
      <c r="A22" s="3" t="s">
        <v>20</v>
      </c>
      <c r="B22" s="3">
        <f>SUM(B13:E13)</f>
        <v>10200</v>
      </c>
    </row>
    <row r="23" spans="1:7" ht="37.5" x14ac:dyDescent="0.25">
      <c r="A23" s="2" t="s">
        <v>23</v>
      </c>
      <c r="B23" s="3">
        <f>$B$22*0.45</f>
        <v>4590</v>
      </c>
      <c r="C23" s="3">
        <f>$B$22*0.55</f>
        <v>5610</v>
      </c>
      <c r="D23" s="2" t="s">
        <v>25</v>
      </c>
    </row>
    <row r="24" spans="1:7" ht="25" x14ac:dyDescent="0.25">
      <c r="A24" s="2" t="s">
        <v>26</v>
      </c>
      <c r="B24" s="3">
        <f>SUM(C13:D13)</f>
        <v>4589.9999999999982</v>
      </c>
      <c r="D24" s="2"/>
    </row>
    <row r="25" spans="1:7" s="5" customFormat="1" x14ac:dyDescent="0.25">
      <c r="A25" s="4" t="s">
        <v>21</v>
      </c>
      <c r="E25" s="4"/>
    </row>
    <row r="26" spans="1:7" ht="13" x14ac:dyDescent="0.25">
      <c r="A26" s="1"/>
      <c r="B26" s="2" t="s">
        <v>8</v>
      </c>
      <c r="C26" s="2" t="s">
        <v>9</v>
      </c>
      <c r="D26" s="2" t="s">
        <v>10</v>
      </c>
      <c r="E26" s="2" t="s">
        <v>11</v>
      </c>
      <c r="F26" s="2" t="s">
        <v>2</v>
      </c>
      <c r="G26" s="6" t="s">
        <v>24</v>
      </c>
    </row>
    <row r="27" spans="1:7" x14ac:dyDescent="0.25">
      <c r="A27" s="2" t="s">
        <v>4</v>
      </c>
      <c r="B27" s="2">
        <f>B9</f>
        <v>1720</v>
      </c>
      <c r="C27" s="2">
        <f t="shared" ref="C27:E27" si="1">C9</f>
        <v>873.3333333333278</v>
      </c>
      <c r="D27" s="2">
        <f t="shared" si="1"/>
        <v>350</v>
      </c>
      <c r="E27" s="2">
        <f t="shared" si="1"/>
        <v>1856.6666666666733</v>
      </c>
      <c r="F27" s="2">
        <f>F9</f>
        <v>4800.0000000000009</v>
      </c>
      <c r="G27" s="2">
        <v>50</v>
      </c>
    </row>
    <row r="28" spans="1:7" x14ac:dyDescent="0.25">
      <c r="A28" s="2" t="s">
        <v>5</v>
      </c>
      <c r="B28" s="2">
        <f t="shared" ref="B28:E30" si="2">B10</f>
        <v>0</v>
      </c>
      <c r="C28" s="2">
        <f t="shared" si="2"/>
        <v>0</v>
      </c>
      <c r="D28" s="2">
        <f t="shared" si="2"/>
        <v>2500</v>
      </c>
      <c r="E28" s="2">
        <f t="shared" si="2"/>
        <v>0</v>
      </c>
      <c r="F28" s="2">
        <f t="shared" ref="F28:F30" si="3">F10</f>
        <v>2500</v>
      </c>
      <c r="G28" s="2">
        <v>35</v>
      </c>
    </row>
    <row r="29" spans="1:7" x14ac:dyDescent="0.25">
      <c r="A29" s="2" t="s">
        <v>6</v>
      </c>
      <c r="B29" s="2">
        <f t="shared" si="2"/>
        <v>1200</v>
      </c>
      <c r="C29" s="2">
        <f t="shared" si="2"/>
        <v>0</v>
      </c>
      <c r="D29" s="2">
        <f t="shared" si="2"/>
        <v>0</v>
      </c>
      <c r="E29" s="2">
        <f t="shared" si="2"/>
        <v>0</v>
      </c>
      <c r="F29" s="2">
        <f t="shared" si="3"/>
        <v>1200</v>
      </c>
      <c r="G29" s="2">
        <v>70</v>
      </c>
    </row>
    <row r="30" spans="1:7" x14ac:dyDescent="0.25">
      <c r="A30" s="2" t="s">
        <v>7</v>
      </c>
      <c r="B30" s="2">
        <f t="shared" si="2"/>
        <v>0</v>
      </c>
      <c r="C30" s="2">
        <f t="shared" si="2"/>
        <v>866.66666666666993</v>
      </c>
      <c r="D30" s="2">
        <f t="shared" si="2"/>
        <v>0</v>
      </c>
      <c r="E30" s="2">
        <f t="shared" si="2"/>
        <v>833.33333333332871</v>
      </c>
      <c r="F30" s="2">
        <f t="shared" si="3"/>
        <v>1699.9999999999986</v>
      </c>
      <c r="G30" s="2">
        <v>65</v>
      </c>
    </row>
    <row r="31" spans="1:7" x14ac:dyDescent="0.25">
      <c r="A31" s="2" t="s">
        <v>12</v>
      </c>
      <c r="B31" s="2">
        <f>SUMPRODUCT(B27:B30,$G$27:$G$30)</f>
        <v>170000</v>
      </c>
      <c r="C31" s="2">
        <f t="shared" ref="C31:E31" si="4">SUMPRODUCT(C27:C30,$G$27:$G$30)</f>
        <v>99999.999999999942</v>
      </c>
      <c r="D31" s="2">
        <f t="shared" si="4"/>
        <v>105000</v>
      </c>
      <c r="E31" s="2">
        <f t="shared" si="4"/>
        <v>147000.00000000003</v>
      </c>
      <c r="F31" s="12">
        <f>SUM(B31:E31)</f>
        <v>522000</v>
      </c>
      <c r="G31" s="2"/>
    </row>
    <row r="32" spans="1:7" x14ac:dyDescent="0.25">
      <c r="A32" s="2" t="s">
        <v>1</v>
      </c>
      <c r="B32" s="2">
        <v>170000</v>
      </c>
      <c r="C32" s="2">
        <v>100000</v>
      </c>
      <c r="D32" s="2">
        <v>105000</v>
      </c>
      <c r="E32" s="2">
        <v>180000</v>
      </c>
      <c r="F32" s="2"/>
      <c r="G32" s="2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1A8D8-4A7E-4410-90B6-5A04DB5E8F2D}">
  <dimension ref="A1:J21"/>
  <sheetViews>
    <sheetView topLeftCell="A4" zoomScale="115" zoomScaleNormal="115" workbookViewId="0">
      <selection activeCell="G9" sqref="G9:G12"/>
    </sheetView>
  </sheetViews>
  <sheetFormatPr defaultRowHeight="12.5" x14ac:dyDescent="0.25"/>
  <cols>
    <col min="1" max="1" width="20.08984375" style="3" customWidth="1"/>
    <col min="2" max="2" width="15.54296875" style="3" customWidth="1"/>
    <col min="3" max="3" width="11.36328125" style="3" bestFit="1" customWidth="1"/>
    <col min="4" max="4" width="23" style="3" customWidth="1"/>
    <col min="5" max="5" width="13.7265625" style="3" customWidth="1"/>
    <col min="6" max="16384" width="8.7265625" style="3"/>
  </cols>
  <sheetData>
    <row r="1" spans="1:10" ht="13" x14ac:dyDescent="0.25">
      <c r="A1" s="1" t="s">
        <v>3</v>
      </c>
      <c r="B1" s="2"/>
      <c r="C1" s="2"/>
      <c r="D1" s="2"/>
      <c r="E1" s="2"/>
      <c r="F1" s="2"/>
      <c r="G1" s="2"/>
    </row>
    <row r="2" spans="1:10" x14ac:dyDescent="0.25">
      <c r="A2" s="2" t="s">
        <v>4</v>
      </c>
      <c r="B2" s="2">
        <v>75</v>
      </c>
      <c r="C2" s="2"/>
      <c r="D2" s="2"/>
      <c r="E2" s="2"/>
      <c r="F2" s="2"/>
      <c r="G2" s="2"/>
    </row>
    <row r="3" spans="1:10" x14ac:dyDescent="0.25">
      <c r="A3" s="2" t="s">
        <v>5</v>
      </c>
      <c r="B3" s="2">
        <v>55</v>
      </c>
      <c r="C3" s="2"/>
      <c r="D3" s="2"/>
      <c r="E3" s="2"/>
      <c r="F3" s="2"/>
      <c r="G3" s="2"/>
    </row>
    <row r="4" spans="1:10" x14ac:dyDescent="0.25">
      <c r="A4" s="2" t="s">
        <v>6</v>
      </c>
      <c r="B4" s="2">
        <v>65</v>
      </c>
      <c r="C4" s="2"/>
      <c r="D4" s="2"/>
      <c r="E4" s="2"/>
      <c r="F4" s="2"/>
      <c r="G4" s="2"/>
    </row>
    <row r="5" spans="1:10" x14ac:dyDescent="0.25">
      <c r="A5" s="2" t="s">
        <v>7</v>
      </c>
      <c r="B5" s="2">
        <v>85</v>
      </c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x14ac:dyDescent="0.25">
      <c r="A7" s="2"/>
      <c r="B7" s="2"/>
      <c r="C7" s="2"/>
      <c r="D7" s="2"/>
      <c r="E7" s="2"/>
      <c r="F7" s="2"/>
      <c r="G7" s="2"/>
    </row>
    <row r="8" spans="1:10" ht="13" x14ac:dyDescent="0.25">
      <c r="A8" s="1"/>
      <c r="B8" s="2" t="s">
        <v>8</v>
      </c>
      <c r="C8" s="2" t="s">
        <v>9</v>
      </c>
      <c r="D8" s="2" t="s">
        <v>10</v>
      </c>
      <c r="E8" s="2" t="s">
        <v>11</v>
      </c>
      <c r="F8" s="2" t="s">
        <v>2</v>
      </c>
      <c r="G8" s="2" t="s">
        <v>0</v>
      </c>
    </row>
    <row r="9" spans="1:10" x14ac:dyDescent="0.25">
      <c r="A9" s="2" t="s">
        <v>4</v>
      </c>
      <c r="B9" s="2">
        <v>0</v>
      </c>
      <c r="C9" s="2">
        <v>1799.9999999999993</v>
      </c>
      <c r="D9" s="2">
        <v>3000</v>
      </c>
      <c r="E9" s="2">
        <v>0</v>
      </c>
      <c r="F9" s="2">
        <f>SUM(B9:D9)</f>
        <v>4799.9999999999991</v>
      </c>
      <c r="G9" s="2">
        <v>4800</v>
      </c>
    </row>
    <row r="10" spans="1:10" x14ac:dyDescent="0.25">
      <c r="A10" s="2" t="s">
        <v>5</v>
      </c>
      <c r="B10" s="2">
        <v>356.58914728728985</v>
      </c>
      <c r="C10" s="2">
        <v>1200.0000000000007</v>
      </c>
      <c r="D10" s="2">
        <v>0</v>
      </c>
      <c r="E10" s="2">
        <v>310.07751938025228</v>
      </c>
      <c r="F10" s="2">
        <f>SUM(B10:D10)</f>
        <v>1556.5891472872904</v>
      </c>
      <c r="G10" s="2">
        <v>2500</v>
      </c>
    </row>
    <row r="11" spans="1:10" x14ac:dyDescent="0.25">
      <c r="A11" s="2" t="s">
        <v>6</v>
      </c>
      <c r="B11" s="2">
        <v>0</v>
      </c>
      <c r="C11" s="2">
        <v>0</v>
      </c>
      <c r="D11" s="2">
        <v>0</v>
      </c>
      <c r="E11" s="2">
        <v>0</v>
      </c>
      <c r="F11" s="2">
        <f>SUM(B11:D11)</f>
        <v>0</v>
      </c>
      <c r="G11" s="2">
        <v>1200</v>
      </c>
    </row>
    <row r="12" spans="1:10" x14ac:dyDescent="0.25">
      <c r="A12" s="2" t="s">
        <v>7</v>
      </c>
      <c r="B12" s="2">
        <v>0</v>
      </c>
      <c r="C12" s="2">
        <v>0</v>
      </c>
      <c r="D12" s="2">
        <v>0</v>
      </c>
      <c r="E12" s="2">
        <v>0</v>
      </c>
      <c r="F12" s="2">
        <f>SUM(B12:D12)</f>
        <v>0</v>
      </c>
      <c r="G12" s="2">
        <v>1700</v>
      </c>
    </row>
    <row r="13" spans="1:10" x14ac:dyDescent="0.25">
      <c r="A13" s="2" t="s">
        <v>12</v>
      </c>
      <c r="B13" s="2">
        <f>SUM(B9:B12)</f>
        <v>356.58914728728985</v>
      </c>
      <c r="C13" s="2">
        <f>SUM(C9:C12)</f>
        <v>3000</v>
      </c>
      <c r="D13" s="2">
        <f>SUM(D9:D12)</f>
        <v>3000</v>
      </c>
      <c r="E13" s="2">
        <f>SUM(E9:E12)</f>
        <v>310.07751938025228</v>
      </c>
      <c r="F13" s="2"/>
      <c r="G13" s="2"/>
    </row>
    <row r="14" spans="1:10" x14ac:dyDescent="0.25">
      <c r="A14" s="2" t="s">
        <v>1</v>
      </c>
      <c r="B14" s="2">
        <v>3000</v>
      </c>
      <c r="C14" s="2">
        <v>3000</v>
      </c>
      <c r="D14" s="2">
        <v>3000</v>
      </c>
      <c r="E14" s="2">
        <v>4000</v>
      </c>
      <c r="F14" s="2"/>
      <c r="G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 t="s">
        <v>13</v>
      </c>
      <c r="F16" s="2">
        <f>SUMPRODUCT(B2:B5,F9:F12)</f>
        <v>445612.40310080093</v>
      </c>
      <c r="G16" s="2"/>
      <c r="J16" s="2"/>
    </row>
    <row r="17" spans="1:6" ht="25" x14ac:dyDescent="0.25">
      <c r="E17" s="2" t="s">
        <v>16</v>
      </c>
      <c r="F17" s="3">
        <f>SUMPRODUCT(B2:B5,F9:F12) - (SUMPRODUCT(B2:B5,F9:F12)*0.1)</f>
        <v>401051.16279072082</v>
      </c>
    </row>
    <row r="18" spans="1:6" x14ac:dyDescent="0.25">
      <c r="B18" s="3" t="s">
        <v>17</v>
      </c>
      <c r="C18" s="3" t="s">
        <v>18</v>
      </c>
      <c r="E18" s="2"/>
    </row>
    <row r="19" spans="1:6" ht="37.5" x14ac:dyDescent="0.25">
      <c r="A19" s="2" t="s">
        <v>14</v>
      </c>
      <c r="B19" s="3">
        <f>$E$13*0.85</f>
        <v>263.56589147321444</v>
      </c>
      <c r="C19" s="3">
        <f>$E$13*1.15</f>
        <v>356.58914728729007</v>
      </c>
      <c r="D19" s="3" t="s">
        <v>19</v>
      </c>
    </row>
    <row r="20" spans="1:6" ht="56" customHeight="1" x14ac:dyDescent="0.25">
      <c r="A20" s="3" t="s">
        <v>20</v>
      </c>
      <c r="B20" s="3">
        <f>SUM(B13:E13)</f>
        <v>6666.6666666675419</v>
      </c>
    </row>
    <row r="21" spans="1:6" x14ac:dyDescent="0.25">
      <c r="A21" s="2" t="s">
        <v>15</v>
      </c>
      <c r="B21" s="3">
        <f>$B$20*0.45</f>
        <v>3000.0000000003938</v>
      </c>
      <c r="C21" s="3">
        <f>$B$20*0.55</f>
        <v>3666.6666666671485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Sensitivity Report 1</vt:lpstr>
      <vt:lpstr>Tons and Volume (2)</vt:lpstr>
      <vt:lpstr>Tons and Volume</vt:lpstr>
      <vt:lpstr>Only tons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Lim</dc:creator>
  <cp:lastModifiedBy>Jason Siu</cp:lastModifiedBy>
  <cp:lastPrinted>2009-03-24T14:40:57Z</cp:lastPrinted>
  <dcterms:created xsi:type="dcterms:W3CDTF">1999-10-21T20:58:00Z</dcterms:created>
  <dcterms:modified xsi:type="dcterms:W3CDTF">2022-09-04T11:34:39Z</dcterms:modified>
</cp:coreProperties>
</file>