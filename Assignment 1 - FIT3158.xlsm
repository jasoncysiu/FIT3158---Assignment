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wnloads\Only_once\"/>
    </mc:Choice>
  </mc:AlternateContent>
  <xr:revisionPtr revIDLastSave="0" documentId="13_ncr:1_{96A55B0C-ED6D-477E-A80C-81E60E7ABD58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Sheet1" sheetId="11" r:id="rId1"/>
  </sheets>
  <definedNames>
    <definedName name="solver_adj" localSheetId="0" hidden="1">Sheet1!$B$9:$E$12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Sheet1!$B$13:$E$13</definedName>
    <definedName name="solver_lhs2" localSheetId="0" hidden="1">Sheet1!$B$18</definedName>
    <definedName name="solver_lhs3" localSheetId="0" hidden="1">Sheet1!$B$9:$E$12</definedName>
    <definedName name="solver_lhs4" localSheetId="0" hidden="1">Sheet1!$B$9:$E$12</definedName>
    <definedName name="solver_lhs5" localSheetId="0" hidden="1">Sheet1!$F$9:$F$12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Sheet1!$B$18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4</definedName>
    <definedName name="solver_rel4" localSheetId="0" hidden="1">3</definedName>
    <definedName name="solver_rel5" localSheetId="0" hidden="1">2</definedName>
    <definedName name="solver_rhs1" localSheetId="0" hidden="1">Sheet1!$B$14:$E$14</definedName>
    <definedName name="solver_rhs2" localSheetId="0" hidden="1">Sheet1!$B$13</definedName>
    <definedName name="solver_rhs3" localSheetId="0" hidden="1">"integer"</definedName>
    <definedName name="solver_rhs4" localSheetId="0" hidden="1">0</definedName>
    <definedName name="solver_rhs5" localSheetId="0" hidden="1">Sheet1!$G$9:$G$12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1" l="1"/>
  <c r="B18" i="11" s="1"/>
  <c r="B13" i="11"/>
  <c r="D13" i="11"/>
  <c r="C13" i="11"/>
  <c r="F12" i="11"/>
  <c r="F11" i="11"/>
  <c r="F10" i="11"/>
  <c r="F9" i="11"/>
  <c r="F16" i="11" l="1"/>
</calcChain>
</file>

<file path=xl/sharedStrings.xml><?xml version="1.0" encoding="utf-8"?>
<sst xmlns="http://schemas.openxmlformats.org/spreadsheetml/2006/main" count="20" uniqueCount="16">
  <si>
    <t>Available</t>
  </si>
  <si>
    <t>Capacity</t>
  </si>
  <si>
    <t>Shipped</t>
  </si>
  <si>
    <t>Cargo Type</t>
  </si>
  <si>
    <t>C1</t>
  </si>
  <si>
    <t>C2</t>
  </si>
  <si>
    <t>C3</t>
  </si>
  <si>
    <t>C4</t>
  </si>
  <si>
    <t xml:space="preserve">Forward </t>
  </si>
  <si>
    <t>Center (Port)</t>
  </si>
  <si>
    <t>Center (Starboard)</t>
  </si>
  <si>
    <t>Rear</t>
  </si>
  <si>
    <t>Placed</t>
  </si>
  <si>
    <t>Profit</t>
  </si>
  <si>
    <t>Forward/Rear</t>
  </si>
  <si>
    <t>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</si>
</sst>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1A8D8-4A7E-4410-90B6-5A04DB5E8F2D}">
  <dimension ref="A1:J19"/>
  <sheetViews>
    <sheetView tabSelected="1" zoomScale="130" zoomScaleNormal="130" workbookViewId="0">
      <selection activeCell="G6" sqref="G6"/>
    </sheetView>
  </sheetViews>
  <sheetFormatPr defaultRowHeight="12.5" x14ac:dyDescent="0.25"/>
  <sheetData>
    <row r="1" spans="1:10" ht="13" x14ac:dyDescent="0.3">
      <c r="A1" s="2" t="s">
        <v>3</v>
      </c>
      <c r="B1" s="1"/>
      <c r="C1" s="1"/>
      <c r="D1" s="1"/>
      <c r="E1" s="1"/>
      <c r="F1" s="1"/>
      <c r="G1" s="1"/>
    </row>
    <row r="2" spans="1:10" x14ac:dyDescent="0.25">
      <c r="A2" s="1" t="s">
        <v>4</v>
      </c>
      <c r="B2" s="1">
        <v>75</v>
      </c>
      <c r="C2" s="1"/>
      <c r="D2" s="1"/>
      <c r="E2" s="1"/>
      <c r="F2" s="1"/>
      <c r="G2" s="1"/>
    </row>
    <row r="3" spans="1:10" x14ac:dyDescent="0.25">
      <c r="A3" s="1" t="s">
        <v>5</v>
      </c>
      <c r="B3" s="1">
        <v>55</v>
      </c>
      <c r="C3" s="1"/>
      <c r="D3" s="1"/>
      <c r="E3" s="1"/>
      <c r="F3" s="1"/>
      <c r="G3" s="1"/>
    </row>
    <row r="4" spans="1:10" x14ac:dyDescent="0.25">
      <c r="A4" s="1" t="s">
        <v>6</v>
      </c>
      <c r="B4" s="1">
        <v>65</v>
      </c>
      <c r="C4" s="1"/>
      <c r="D4" s="1"/>
      <c r="E4" s="1"/>
      <c r="F4" s="1"/>
      <c r="G4" s="1"/>
    </row>
    <row r="5" spans="1:10" x14ac:dyDescent="0.25">
      <c r="A5" s="1" t="s">
        <v>7</v>
      </c>
      <c r="B5" s="1">
        <v>85</v>
      </c>
      <c r="C5" s="1"/>
      <c r="D5" s="1"/>
      <c r="E5" s="1"/>
      <c r="F5" s="1"/>
      <c r="G5" s="1"/>
    </row>
    <row r="6" spans="1:10" x14ac:dyDescent="0.25">
      <c r="A6" s="1"/>
      <c r="B6" s="1"/>
      <c r="C6" s="1"/>
      <c r="D6" s="1"/>
      <c r="E6" s="1"/>
      <c r="F6" s="1"/>
      <c r="G6" s="1"/>
    </row>
    <row r="7" spans="1:10" x14ac:dyDescent="0.25">
      <c r="A7" s="1"/>
      <c r="B7" s="1"/>
      <c r="C7" s="1"/>
      <c r="D7" s="1"/>
      <c r="E7" s="1"/>
      <c r="F7" s="1"/>
      <c r="G7" s="1"/>
    </row>
    <row r="8" spans="1:10" ht="13" x14ac:dyDescent="0.3">
      <c r="A8" s="2"/>
      <c r="B8" s="1" t="s">
        <v>8</v>
      </c>
      <c r="C8" s="1" t="s">
        <v>9</v>
      </c>
      <c r="D8" s="1" t="s">
        <v>10</v>
      </c>
      <c r="E8" s="1" t="s">
        <v>11</v>
      </c>
      <c r="F8" s="1" t="s">
        <v>2</v>
      </c>
      <c r="G8" s="1" t="s">
        <v>0</v>
      </c>
    </row>
    <row r="9" spans="1:10" x14ac:dyDescent="0.25">
      <c r="A9" s="1" t="s">
        <v>4</v>
      </c>
      <c r="B9" s="1">
        <v>3000</v>
      </c>
      <c r="C9" s="1">
        <v>500</v>
      </c>
      <c r="D9" s="1">
        <v>1300</v>
      </c>
      <c r="E9" s="1">
        <v>0</v>
      </c>
      <c r="F9" s="1">
        <f>SUM(B9:D9)</f>
        <v>4800</v>
      </c>
      <c r="G9" s="1">
        <v>4800</v>
      </c>
    </row>
    <row r="10" spans="1:10" x14ac:dyDescent="0.25">
      <c r="A10" s="1" t="s">
        <v>5</v>
      </c>
      <c r="B10" s="1">
        <v>0</v>
      </c>
      <c r="C10" s="1">
        <v>2500</v>
      </c>
      <c r="D10" s="1">
        <v>0</v>
      </c>
      <c r="E10" s="1">
        <v>0</v>
      </c>
      <c r="F10" s="1">
        <f>SUM(B10:D10)</f>
        <v>2500</v>
      </c>
      <c r="G10" s="1">
        <v>2500</v>
      </c>
    </row>
    <row r="11" spans="1:10" x14ac:dyDescent="0.25">
      <c r="A11" s="1" t="s">
        <v>6</v>
      </c>
      <c r="B11" s="1">
        <v>0</v>
      </c>
      <c r="C11" s="1">
        <v>0</v>
      </c>
      <c r="D11" s="1">
        <v>0</v>
      </c>
      <c r="E11" s="1">
        <v>0</v>
      </c>
      <c r="F11" s="1">
        <f>SUM(B11:D11)</f>
        <v>0</v>
      </c>
      <c r="G11" s="1">
        <v>1200</v>
      </c>
    </row>
    <row r="12" spans="1:10" x14ac:dyDescent="0.25">
      <c r="A12" s="1" t="s">
        <v>7</v>
      </c>
      <c r="B12" s="1">
        <v>0</v>
      </c>
      <c r="C12" s="1">
        <v>0</v>
      </c>
      <c r="D12" s="1">
        <v>1700</v>
      </c>
      <c r="E12" s="1">
        <v>3529.411764705882</v>
      </c>
      <c r="F12" s="1">
        <f>SUM(B12:D12)</f>
        <v>1700</v>
      </c>
      <c r="G12" s="1">
        <v>1700</v>
      </c>
    </row>
    <row r="13" spans="1:10" x14ac:dyDescent="0.25">
      <c r="A13" s="1" t="s">
        <v>12</v>
      </c>
      <c r="B13" s="1">
        <f>SUM(B9:B12)</f>
        <v>3000</v>
      </c>
      <c r="C13" s="1">
        <f>SUM(C9:C12)</f>
        <v>3000</v>
      </c>
      <c r="D13" s="1">
        <f>SUM(D9:D12)</f>
        <v>3000</v>
      </c>
      <c r="E13" s="1">
        <f>SUM(E9:E12)</f>
        <v>3529.411764705882</v>
      </c>
      <c r="F13" s="1"/>
      <c r="G13" s="1"/>
    </row>
    <row r="14" spans="1:10" x14ac:dyDescent="0.25">
      <c r="A14" s="1" t="s">
        <v>1</v>
      </c>
      <c r="B14" s="1">
        <v>3000</v>
      </c>
      <c r="C14" s="1">
        <v>3000</v>
      </c>
      <c r="D14" s="1">
        <v>3000</v>
      </c>
      <c r="E14" s="1">
        <v>4000</v>
      </c>
      <c r="F14" s="1"/>
      <c r="G14" s="1"/>
      <c r="J14" s="1">
        <v>600</v>
      </c>
    </row>
    <row r="15" spans="1:10" x14ac:dyDescent="0.25">
      <c r="A15" s="1"/>
      <c r="B15" s="1"/>
      <c r="C15" s="1"/>
      <c r="D15" s="1"/>
      <c r="E15" s="1"/>
      <c r="F15" s="1"/>
      <c r="G15" s="1"/>
    </row>
    <row r="16" spans="1:10" x14ac:dyDescent="0.25">
      <c r="A16" s="1"/>
      <c r="B16" s="1"/>
      <c r="C16" s="1"/>
      <c r="D16" s="1"/>
      <c r="E16" s="1" t="s">
        <v>13</v>
      </c>
      <c r="F16" s="1">
        <f>SUMPRODUCT(B2:B5,F9:F12)</f>
        <v>642000</v>
      </c>
      <c r="G16" s="1"/>
      <c r="J16" s="1">
        <v>3400</v>
      </c>
    </row>
    <row r="18" spans="1:2" x14ac:dyDescent="0.25">
      <c r="A18" s="1" t="s">
        <v>14</v>
      </c>
      <c r="B18">
        <f>E13*0.85</f>
        <v>2999.9999999999995</v>
      </c>
    </row>
    <row r="19" spans="1:2" x14ac:dyDescent="0.25">
      <c r="A19" s="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Lim</dc:creator>
  <cp:lastModifiedBy>Jason Siu</cp:lastModifiedBy>
  <cp:lastPrinted>2009-03-24T14:40:57Z</cp:lastPrinted>
  <dcterms:created xsi:type="dcterms:W3CDTF">1999-10-21T20:58:00Z</dcterms:created>
  <dcterms:modified xsi:type="dcterms:W3CDTF">2022-08-30T13:03:15Z</dcterms:modified>
</cp:coreProperties>
</file>